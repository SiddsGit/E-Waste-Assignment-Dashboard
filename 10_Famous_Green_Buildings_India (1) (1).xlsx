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Buildings Comparison" sheetId="1" state="visible" r:id="rId1"/>
    <sheet xmlns:r="http://schemas.openxmlformats.org/officeDocument/2006/relationships" name="LEED v5 Reference" sheetId="2" state="visible" r:id="rId2"/>
    <sheet xmlns:r="http://schemas.openxmlformats.org/officeDocument/2006/relationships" name="Sources &amp; Verification" sheetId="3" state="visible" r:id="rId3"/>
  </sheets>
  <definedNames>
    <definedName name="_xlnm._FilterDatabase" localSheetId="0" hidden="1">'Green Buildings Comparison'!$A$1:$P$11</definedName>
    <definedName name="_xlnm._FilterDatabase" localSheetId="1" hidden="1">'LEED v5 Reference'!$A$1:$C$12</definedName>
    <definedName name="_xlnm._FilterDatabase" localSheetId="2" hidden="1">'Sources &amp; Verification'!$A$1:$D$16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  <border>
      <right/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1" fontId="0" fillId="4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LEED v5 BD+C LT maximum: 15 points.</t>
      </text>
    </comment>
    <comment ref="F1" authorId="0" shapeId="0">
      <text>
        <t>LEED v5 BD+C SS maximum: 11 points.</t>
      </text>
    </comment>
    <comment ref="G1" authorId="0" shapeId="0">
      <text>
        <t>LEED v5 BD+C WE maximum: 9 points.</t>
      </text>
    </comment>
    <comment ref="H1" authorId="0" shapeId="0">
      <text>
        <t>LEED v5 BD+C EA maximum: 33 points.</t>
      </text>
    </comment>
    <comment ref="I1" authorId="0" shapeId="0">
      <text>
        <t>LEED v5 BD+C MR maximum: 18 points.</t>
      </text>
    </comment>
    <comment ref="J1" authorId="0" shapeId="0">
      <text>
        <t>LEED v5 BD+C EQ maximum: 13 points.</t>
      </text>
    </comment>
    <comment ref="K1" authorId="0" shapeId="0">
      <text>
        <t>User-requested legacy comparison column. LEED v5 BD+C does not use Innovation as a separate category.</t>
      </text>
    </comment>
    <comment ref="L1" authorId="0" shapeId="0">
      <text>
        <t>User-requested legacy comparison column. LEED v5 BD+C does not use Regional Priority as a separate category.</t>
      </text>
    </comment>
    <comment ref="M1" authorId="0" shapeId="0">
      <text>
        <t>Formula sums only numeric entries in E:L. If no category points are entered, returns N/A.</t>
      </text>
    </comment>
    <comment ref="N1" authorId="0" shapeId="0">
      <text>
        <t>Formula applies the assignment's requested thresholds to the calculated total. If there are no numeric comparison points, returns N/A.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42" customWidth="1" min="4" max="4"/>
    <col width="17" customWidth="1" min="5" max="5"/>
    <col width="17" customWidth="1" min="6" max="6"/>
    <col width="17" customWidth="1" min="7" max="7"/>
    <col width="19" customWidth="1" min="8" max="8"/>
    <col width="19" customWidth="1" min="9" max="9"/>
    <col width="23" customWidth="1" min="10" max="10"/>
    <col width="13" customWidth="1" min="11" max="11"/>
    <col width="17" customWidth="1" min="12" max="12"/>
    <col width="14" customWidth="1" min="13" max="13"/>
    <col width="17" customWidth="1" min="14" max="14"/>
    <col width="17" customWidth="1" min="15" max="15"/>
    <col width="65" customWidth="1" min="16" max="16"/>
  </cols>
  <sheetData>
    <row r="1" ht="42" customHeight="1">
      <c r="A1" s="1" t="inlineStr">
        <is>
          <t>Sr. No.</t>
        </is>
      </c>
      <c r="B1" s="1" t="inlineStr">
        <is>
          <t>Green Building</t>
        </is>
      </c>
      <c r="C1" s="1" t="inlineStr">
        <is>
          <t>Location</t>
        </is>
      </c>
      <c r="D1" s="1" t="inlineStr">
        <is>
          <t>Certification / Rating</t>
        </is>
      </c>
      <c r="E1" s="1" t="inlineStr">
        <is>
          <t>Location &amp; Transportation</t>
        </is>
      </c>
      <c r="F1" s="1" t="inlineStr">
        <is>
          <t>Sustainable Sites</t>
        </is>
      </c>
      <c r="G1" s="1" t="inlineStr">
        <is>
          <t>Water Efficiency</t>
        </is>
      </c>
      <c r="H1" s="1" t="inlineStr">
        <is>
          <t>Energy &amp; Atmosphere</t>
        </is>
      </c>
      <c r="I1" s="1" t="inlineStr">
        <is>
          <t>Materials &amp; Resources</t>
        </is>
      </c>
      <c r="J1" s="1" t="inlineStr">
        <is>
          <t>Indoor Environmental Quality</t>
        </is>
      </c>
      <c r="K1" s="1" t="inlineStr">
        <is>
          <t>Innovation</t>
        </is>
      </c>
      <c r="L1" s="1" t="inlineStr">
        <is>
          <t>Regional Priority</t>
        </is>
      </c>
      <c r="M1" s="1" t="inlineStr">
        <is>
          <t>Total Points</t>
        </is>
      </c>
      <c r="N1" s="1" t="inlineStr">
        <is>
          <t>Calculated Rating</t>
        </is>
      </c>
      <c r="O1" s="1" t="inlineStr">
        <is>
          <t>Documented Score</t>
        </is>
      </c>
      <c r="P1" s="1" t="inlineStr">
        <is>
          <t>Score System / Notes</t>
        </is>
      </c>
    </row>
    <row r="2" ht="78" customHeight="1">
      <c r="A2" s="2" t="n">
        <v>1</v>
      </c>
      <c r="B2" s="2" t="inlineStr">
        <is>
          <t>CII–Sohrabji Godrej Green Business Centre</t>
        </is>
      </c>
      <c r="C2" s="2" t="inlineStr">
        <is>
          <t>Hyderabad, Telangana</t>
        </is>
      </c>
      <c r="D2" s="2" t="inlineStr">
        <is>
          <t>LEED Platinum (LEED v2.0 historical)</t>
        </is>
      </c>
      <c r="E2" s="8" t="n">
        <v>3</v>
      </c>
      <c r="F2" s="8" t="n">
        <v>12</v>
      </c>
      <c r="G2" s="8" t="n">
        <v>7</v>
      </c>
      <c r="H2" s="8" t="n">
        <v>17</v>
      </c>
      <c r="I2" s="8" t="n">
        <v>8</v>
      </c>
      <c r="J2" s="8" t="n">
        <v>6</v>
      </c>
      <c r="K2" s="8" t="n">
        <v>3</v>
      </c>
      <c r="L2" s="8" t="n">
        <v>0</v>
      </c>
      <c r="M2" s="3">
        <f>SUM(E2:L2)</f>
        <v/>
      </c>
      <c r="N2" s="2">
        <f>IF(M2&lt;40,"Not Certified",IF(M2&lt;50,"Certified",IF(M2&lt;60,"Silver",IF(M2&lt;80,"Gold","Platinum"))))</f>
        <v/>
      </c>
      <c r="O2" s="4" t="n">
        <v>56</v>
      </c>
      <c r="P2" s="5" t="inlineStr">
        <is>
          <t>Illustrative category allocation; documented historical score = 56/59 under LEED v2.0. Exact credit-level breakdown not verified.</t>
        </is>
      </c>
    </row>
    <row r="3" ht="78" customHeight="1">
      <c r="A3" s="2" t="n">
        <v>2</v>
      </c>
      <c r="B3" s="2" t="inlineStr">
        <is>
          <t>Suzlon One Earth</t>
        </is>
      </c>
      <c r="C3" s="2" t="inlineStr">
        <is>
          <t>Pune, Maharashtra</t>
        </is>
      </c>
      <c r="D3" s="2" t="inlineStr">
        <is>
          <t>LEED Platinum (LEED-India NC historical); GRIHA 5-Star</t>
        </is>
      </c>
      <c r="E3" s="9" t="n">
        <v>0</v>
      </c>
      <c r="F3" s="9" t="n">
        <v>10</v>
      </c>
      <c r="G3" s="9" t="n">
        <v>6</v>
      </c>
      <c r="H3" s="9" t="n">
        <v>14</v>
      </c>
      <c r="I3" s="9" t="n">
        <v>7</v>
      </c>
      <c r="J3" s="9" t="n">
        <v>15</v>
      </c>
      <c r="K3" s="9" t="n">
        <v>5</v>
      </c>
      <c r="L3" s="9" t="n">
        <v>0</v>
      </c>
      <c r="M3" s="3">
        <f>SUM(E3:L3)</f>
        <v/>
      </c>
      <c r="N3" s="2">
        <f>IF(M3&lt;40,"Not Certified",IF(M3&lt;50,"Certified",IF(M3&lt;60,"Silver",IF(M3&lt;80,"Gold","Platinum"))))</f>
        <v/>
      </c>
      <c r="O3" s="4" t="n">
        <v>57</v>
      </c>
      <c r="P3" s="5" t="inlineStr">
        <is>
          <t>Category points are documented LEED-India values totaling 57. LT/RP were not separate categories in this historical scorecard. GRIHA score separately reported as 96/100.</t>
        </is>
      </c>
    </row>
    <row r="4" ht="78" customHeight="1">
      <c r="A4" s="2" t="n">
        <v>3</v>
      </c>
      <c r="B4" s="2" t="inlineStr">
        <is>
          <t>ITC Green Centre</t>
        </is>
      </c>
      <c r="C4" s="2" t="inlineStr">
        <is>
          <t>Gurugram, Haryana</t>
        </is>
      </c>
      <c r="D4" s="2" t="inlineStr">
        <is>
          <t>LEED Platinum (historical LEED-India NC)</t>
        </is>
      </c>
      <c r="E4" s="8" t="n">
        <v>0</v>
      </c>
      <c r="F4" s="8" t="n">
        <v>16</v>
      </c>
      <c r="G4" s="8" t="n">
        <v>10</v>
      </c>
      <c r="H4" s="8" t="n">
        <v>17</v>
      </c>
      <c r="I4" s="8" t="n">
        <v>8</v>
      </c>
      <c r="J4" s="8" t="n">
        <v>5</v>
      </c>
      <c r="K4" s="8" t="n">
        <v>0</v>
      </c>
      <c r="L4" s="8" t="n">
        <v>0</v>
      </c>
      <c r="M4" s="3">
        <f>SUM(E4:L4)</f>
        <v/>
      </c>
      <c r="N4" s="2">
        <f>IF(M4&lt;40,"Not Certified",IF(M4&lt;50,"Certified",IF(M4&lt;60,"Silver",IF(M4&lt;80,"Gold","Platinum"))))</f>
        <v/>
      </c>
      <c r="O4" s="4" t="n">
        <v>56</v>
      </c>
      <c r="P4" s="5" t="inlineStr">
        <is>
          <t>Documented score = 56/69. Category values are illustrative only; no verified credit-level awarded breakdown found.</t>
        </is>
      </c>
    </row>
    <row r="5" ht="78" customHeight="1">
      <c r="A5" s="2" t="n">
        <v>4</v>
      </c>
      <c r="B5" s="2" t="inlineStr">
        <is>
          <t>Infosys Pocharam Campus</t>
        </is>
      </c>
      <c r="C5" s="2" t="inlineStr">
        <is>
          <t>Hyderabad, Telangana</t>
        </is>
      </c>
      <c r="D5" s="2" t="inlineStr">
        <is>
          <t>LEED Platinum (LEED v4.1 O+M: EB; selected SDBs)</t>
        </is>
      </c>
      <c r="E5" s="8" t="n">
        <v>0</v>
      </c>
      <c r="F5" s="8" t="n">
        <v>13</v>
      </c>
      <c r="G5" s="8" t="n">
        <v>8</v>
      </c>
      <c r="H5" s="8" t="n">
        <v>30</v>
      </c>
      <c r="I5" s="8" t="n">
        <v>10</v>
      </c>
      <c r="J5" s="8" t="n">
        <v>15</v>
      </c>
      <c r="K5" s="8" t="n">
        <v>5</v>
      </c>
      <c r="L5" s="8" t="n">
        <v>5</v>
      </c>
      <c r="M5" s="3">
        <f>SUM(E5:L5)</f>
        <v/>
      </c>
      <c r="N5" s="2">
        <f>IF(M5&lt;40,"Not Certified",IF(M5&lt;50,"Certified",IF(M5&lt;60,"Silver",IF(M5&lt;80,"Gold","Platinum"))))</f>
        <v/>
      </c>
      <c r="O5" s="4" t="n">
        <v>86</v>
      </c>
      <c r="P5" s="5" t="inlineStr">
        <is>
          <t>Illustrative allocation. Pocharam SDB examples are 85–86 points under LEED v4.1 O+M: Existing Buildings; not a single campus-wide score.</t>
        </is>
      </c>
    </row>
    <row r="6" ht="78" customHeight="1">
      <c r="A6" s="2" t="n">
        <v>5</v>
      </c>
      <c r="B6" s="2" t="inlineStr">
        <is>
          <t>Indira Paryavaran Bhawan</t>
        </is>
      </c>
      <c r="C6" s="2" t="inlineStr">
        <is>
          <t>New Delhi</t>
        </is>
      </c>
      <c r="D6" s="2" t="inlineStr">
        <is>
          <t>GRIHA 5-Star; LEED India Platinum</t>
        </is>
      </c>
      <c r="E6" s="8" t="n">
        <v>0</v>
      </c>
      <c r="F6" s="8" t="n">
        <v>16</v>
      </c>
      <c r="G6" s="8" t="n">
        <v>12</v>
      </c>
      <c r="H6" s="8" t="n">
        <v>28</v>
      </c>
      <c r="I6" s="8" t="n">
        <v>12</v>
      </c>
      <c r="J6" s="8" t="n">
        <v>15</v>
      </c>
      <c r="K6" s="8" t="n">
        <v>4</v>
      </c>
      <c r="L6" s="8" t="n">
        <v>4</v>
      </c>
      <c r="M6" s="3">
        <f>SUM(E6:L6)</f>
        <v/>
      </c>
      <c r="N6" s="2">
        <f>IF(M6&lt;40,"Not Certified",IF(M6&lt;50,"Certified",IF(M6&lt;60,"Silver",IF(M6&lt;80,"Gold","Platinum"))))</f>
        <v/>
      </c>
      <c r="O6" s="4" t="n">
        <v>91</v>
      </c>
      <c r="P6" s="5" t="inlineStr">
        <is>
          <t>Documented GRIHA score = 91/100. Category values are illustrative LEED-style comparison marks, not original certification points.</t>
        </is>
      </c>
    </row>
    <row r="7" ht="78" customHeight="1">
      <c r="A7" s="2" t="n">
        <v>6</v>
      </c>
      <c r="B7" s="2" t="inlineStr">
        <is>
          <t>Patni Knowledge Centre</t>
        </is>
      </c>
      <c r="C7" s="2" t="inlineStr">
        <is>
          <t>Noida, Uttar Pradesh</t>
        </is>
      </c>
      <c r="D7" s="2" t="inlineStr">
        <is>
          <t>LEED Platinum (LEED India historical)</t>
        </is>
      </c>
      <c r="E7" s="8" t="n">
        <v>0</v>
      </c>
      <c r="F7" s="8" t="n">
        <v>20</v>
      </c>
      <c r="G7" s="8" t="n">
        <v>9</v>
      </c>
      <c r="H7" s="8" t="n">
        <v>25</v>
      </c>
      <c r="I7" s="8" t="n">
        <v>10</v>
      </c>
      <c r="J7" s="8" t="n">
        <v>11</v>
      </c>
      <c r="K7" s="8" t="n">
        <v>3</v>
      </c>
      <c r="L7" s="8" t="n">
        <v>2</v>
      </c>
      <c r="M7" s="3">
        <f>SUM(E7:L7)</f>
        <v/>
      </c>
      <c r="N7" s="2">
        <f>IF(M7&lt;40,"Not Certified",IF(M7&lt;50,"Certified",IF(M7&lt;60,"Silver",IF(M7&lt;80,"Gold","Platinum"))))</f>
        <v/>
      </c>
      <c r="O7" s="4" t="n">
        <v>80</v>
      </c>
      <c r="P7" s="5" t="inlineStr">
        <is>
          <t>LEED Platinum documented, but exact public historical total/category breakdown was not verified. Category values are illustrative/estimated.</t>
        </is>
      </c>
    </row>
    <row r="8" ht="78" customHeight="1">
      <c r="A8" s="2" t="n">
        <v>7</v>
      </c>
      <c r="B8" s="2" t="inlineStr">
        <is>
          <t>Olympia Technology Park</t>
        </is>
      </c>
      <c r="C8" s="2" t="inlineStr">
        <is>
          <t>Chennai, Tamil Nadu</t>
        </is>
      </c>
      <c r="D8" s="2" t="inlineStr">
        <is>
          <t>IGBC Platinum (Existing Building; 2020)</t>
        </is>
      </c>
      <c r="E8" s="8" t="n">
        <v>0</v>
      </c>
      <c r="F8" s="8" t="n">
        <v>14</v>
      </c>
      <c r="G8" s="8" t="n">
        <v>26</v>
      </c>
      <c r="H8" s="8" t="n">
        <v>26</v>
      </c>
      <c r="I8" s="8" t="n">
        <v>0</v>
      </c>
      <c r="J8" s="8" t="n">
        <v>10</v>
      </c>
      <c r="K8" s="8" t="n">
        <v>12</v>
      </c>
      <c r="L8" s="8" t="n">
        <v>0</v>
      </c>
      <c r="M8" s="3">
        <f>SUM(E8:L8)</f>
        <v/>
      </c>
      <c r="N8" s="2">
        <f>IF(M8&lt;40,"Not Certified",IF(M8&lt;50,"Certified",IF(M8&lt;60,"Silver",IF(M8&lt;80,"Gold","Platinum"))))</f>
        <v/>
      </c>
      <c r="O8" s="4" t="n">
        <v>88</v>
      </c>
      <c r="P8" s="5" t="inlineStr">
        <is>
          <t>Documented IGBC Existing Building score = 88/90. Mapped values are for academic comparison only and are not LEED points.</t>
        </is>
      </c>
    </row>
    <row r="9" ht="78" customHeight="1">
      <c r="A9" s="2" t="n">
        <v>8</v>
      </c>
      <c r="B9" s="2" t="inlineStr">
        <is>
          <t>Rajiv Gandhi International Airport</t>
        </is>
      </c>
      <c r="C9" s="2" t="inlineStr">
        <is>
          <t>Hyderabad, Telangana</t>
        </is>
      </c>
      <c r="D9" s="2" t="inlineStr">
        <is>
          <t>LEED Platinum (LEED v4 BD+C NC &amp; Major Renovations; terminal expansion)</t>
        </is>
      </c>
      <c r="E9" s="8" t="n">
        <v>0</v>
      </c>
      <c r="F9" s="8" t="n">
        <v>14</v>
      </c>
      <c r="G9" s="8" t="n">
        <v>10</v>
      </c>
      <c r="H9" s="8" t="n">
        <v>30</v>
      </c>
      <c r="I9" s="8" t="n">
        <v>10</v>
      </c>
      <c r="J9" s="8" t="n">
        <v>12</v>
      </c>
      <c r="K9" s="8" t="n">
        <v>5</v>
      </c>
      <c r="L9" s="8" t="n">
        <v>3</v>
      </c>
      <c r="M9" s="3">
        <f>SUM(E9:L9)</f>
        <v/>
      </c>
      <c r="N9" s="2">
        <f>IF(M9&lt;40,"Not Certified",IF(M9&lt;50,"Certified",IF(M9&lt;60,"Silver",IF(M9&lt;80,"Gold","Platinum"))))</f>
        <v/>
      </c>
      <c r="O9" s="4" t="n">
        <v>84</v>
      </c>
      <c r="P9" s="5" t="inlineStr">
        <is>
          <t>Documented score = 84 under LEED v4 BD+C. Category allocation is illustrative because public credit-level scorecard was not verified.</t>
        </is>
      </c>
    </row>
    <row r="10" ht="78" customHeight="1">
      <c r="A10" s="2" t="n">
        <v>9</v>
      </c>
      <c r="B10" s="2" t="inlineStr">
        <is>
          <t>Godrej Bhavan</t>
        </is>
      </c>
      <c r="C10" s="2" t="inlineStr">
        <is>
          <t>Mumbai, Maharashtra</t>
        </is>
      </c>
      <c r="D10" s="2" t="inlineStr">
        <is>
          <t>LEED Gold (LEED EB O&amp;M v2)</t>
        </is>
      </c>
      <c r="E10" s="8" t="n">
        <v>0</v>
      </c>
      <c r="F10" s="8" t="n">
        <v>7</v>
      </c>
      <c r="G10" s="8" t="n">
        <v>9</v>
      </c>
      <c r="H10" s="8" t="n">
        <v>18</v>
      </c>
      <c r="I10" s="8" t="n">
        <v>10</v>
      </c>
      <c r="J10" s="8" t="n">
        <v>7</v>
      </c>
      <c r="K10" s="8" t="n">
        <v>1</v>
      </c>
      <c r="L10" s="8" t="n">
        <v>4</v>
      </c>
      <c r="M10" s="3">
        <f>SUM(E10:L10)</f>
        <v/>
      </c>
      <c r="N10" s="2">
        <f>IF(M10&lt;40,"Not Certified",IF(M10&lt;50,"Certified",IF(M10&lt;60,"Silver",IF(M10&lt;80,"Gold","Platinum"))))</f>
        <v/>
      </c>
      <c r="O10" s="4" t="n">
        <v>56</v>
      </c>
      <c r="P10" s="5" t="inlineStr">
        <is>
          <t>Documented historical score = 56/92 under LEED EB O&amp;M v2. Category values are illustrative because public source figures do not reconcile cleanly to 56.</t>
        </is>
      </c>
    </row>
    <row r="11" ht="78" customHeight="1">
      <c r="A11" s="2" t="n">
        <v>10</v>
      </c>
      <c r="B11" s="2" t="inlineStr">
        <is>
          <t>Infosys Campus – Bengaluru</t>
        </is>
      </c>
      <c r="C11" s="2" t="inlineStr">
        <is>
          <t>Bengaluru, Karnataka</t>
        </is>
      </c>
      <c r="D11" s="2" t="inlineStr">
        <is>
          <t>LEED / green-certified Infosys campus buildings</t>
        </is>
      </c>
      <c r="E11" s="8" t="n">
        <v>0</v>
      </c>
      <c r="F11" s="8" t="n">
        <v>15</v>
      </c>
      <c r="G11" s="8" t="n">
        <v>9</v>
      </c>
      <c r="H11" s="8" t="n">
        <v>30</v>
      </c>
      <c r="I11" s="8" t="n">
        <v>10</v>
      </c>
      <c r="J11" s="8" t="n">
        <v>14</v>
      </c>
      <c r="K11" s="8" t="n">
        <v>5</v>
      </c>
      <c r="L11" s="8" t="n">
        <v>3</v>
      </c>
      <c r="M11" s="3">
        <f>SUM(E11:L11)</f>
        <v/>
      </c>
      <c r="N11" s="2">
        <f>IF(M11&lt;40,"Not Certified",IF(M11&lt;50,"Certified",IF(M11&lt;60,"Silver",IF(M11&lt;80,"Gold","Platinum"))))</f>
        <v/>
      </c>
      <c r="O11" s="5" t="inlineStr">
        <is>
          <t>N/A</t>
        </is>
      </c>
      <c r="P11" s="5" t="inlineStr">
        <is>
          <t>Illustrative allocation only. Infosys has multiple green-certified buildings/campuses; no single verified campus-wide score used.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6" t="inlineStr">
        <is>
          <t>Legend:</t>
        </is>
      </c>
      <c r="B13" s="10" t="inlineStr">
        <is>
          <t>IMPORTANT NOTE</t>
        </is>
      </c>
      <c r="C13" s="11" t="inlineStr">
        <is>
          <t>Historical certification scores are based on the rating system/version applicable at the time of certification. LEED v5 scores should not be inferred from historical certification scores unless official project documentation provides the corresponding credit-level data.</t>
        </is>
      </c>
    </row>
    <row r="14" ht="55" customHeight="1">
      <c r="A14" s="2" t="inlineStr">
        <is>
          <t>Assignment note:</t>
        </is>
      </c>
      <c r="B14" s="2" t="inlineStr">
        <is>
          <t>Legend</t>
        </is>
      </c>
      <c r="C14" t="inlineStr">
        <is>
          <t>Yellow cells = illustrative/estimated LEED-style comparison marks. Green cells in Documented Score = reported historical score/rating-system score.</t>
        </is>
      </c>
    </row>
  </sheetData>
  <autoFilter ref="A1:P11"/>
  <mergeCells count="1">
    <mergeCell ref="C13:P1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55" customWidth="1" min="3" max="3"/>
  </cols>
  <sheetData>
    <row r="1">
      <c r="A1" s="1" t="inlineStr">
        <is>
          <t>LEED v5 BD+C New Construction Category</t>
        </is>
      </c>
      <c r="B1" s="1" t="inlineStr">
        <is>
          <t>Maximum Points</t>
        </is>
      </c>
      <c r="C1" s="1" t="inlineStr">
        <is>
          <t>Used in comparison?</t>
        </is>
      </c>
    </row>
    <row r="2" ht="32" customHeight="1">
      <c r="A2" s="2" t="inlineStr">
        <is>
          <t>Integrative Process, Planning &amp; Assessments (IP)</t>
        </is>
      </c>
      <c r="B2" s="2" t="n">
        <v>1</v>
      </c>
      <c r="C2" s="2" t="inlineStr">
        <is>
          <t>Reference only; no matching user column</t>
        </is>
      </c>
    </row>
    <row r="3" ht="32" customHeight="1">
      <c r="A3" s="2" t="inlineStr">
        <is>
          <t>Location &amp; Transportation (LT)</t>
        </is>
      </c>
      <c r="B3" s="2" t="n">
        <v>15</v>
      </c>
      <c r="C3" s="2" t="inlineStr">
        <is>
          <t>Yes</t>
        </is>
      </c>
    </row>
    <row r="4" ht="32" customHeight="1">
      <c r="A4" s="2" t="inlineStr">
        <is>
          <t>Sustainable Sites (SS)</t>
        </is>
      </c>
      <c r="B4" s="2" t="n">
        <v>11</v>
      </c>
      <c r="C4" s="2" t="inlineStr">
        <is>
          <t>Yes</t>
        </is>
      </c>
    </row>
    <row r="5" ht="32" customHeight="1">
      <c r="A5" s="2" t="inlineStr">
        <is>
          <t>Water Efficiency (WE)</t>
        </is>
      </c>
      <c r="B5" s="2" t="n">
        <v>9</v>
      </c>
      <c r="C5" s="2" t="inlineStr">
        <is>
          <t>Yes</t>
        </is>
      </c>
    </row>
    <row r="6" ht="32" customHeight="1">
      <c r="A6" s="2" t="inlineStr">
        <is>
          <t>Energy &amp; Atmosphere (EA)</t>
        </is>
      </c>
      <c r="B6" s="2" t="n">
        <v>33</v>
      </c>
      <c r="C6" s="2" t="inlineStr">
        <is>
          <t>Yes</t>
        </is>
      </c>
    </row>
    <row r="7" ht="32" customHeight="1">
      <c r="A7" s="2" t="inlineStr">
        <is>
          <t>Materials &amp; Resources (MR)</t>
        </is>
      </c>
      <c r="B7" s="2" t="n">
        <v>18</v>
      </c>
      <c r="C7" s="2" t="inlineStr">
        <is>
          <t>Yes</t>
        </is>
      </c>
    </row>
    <row r="8" ht="32" customHeight="1">
      <c r="A8" s="2" t="inlineStr">
        <is>
          <t>Indoor Environmental Quality (EQ)</t>
        </is>
      </c>
      <c r="B8" s="2" t="n">
        <v>13</v>
      </c>
      <c r="C8" s="2" t="inlineStr">
        <is>
          <t>Yes</t>
        </is>
      </c>
    </row>
    <row r="9" ht="32" customHeight="1">
      <c r="A9" s="2" t="inlineStr">
        <is>
          <t>Project Priorities (PR)</t>
        </is>
      </c>
      <c r="B9" s="2" t="n">
        <v>10</v>
      </c>
      <c r="C9" s="2" t="inlineStr">
        <is>
          <t>Reference only; Innovation/Regional Priority are not separate v5 categories</t>
        </is>
      </c>
    </row>
    <row r="10" ht="32" customHeight="1">
      <c r="A10" s="2" t="inlineStr">
        <is>
          <t>Total Possible Points</t>
        </is>
      </c>
      <c r="B10" s="2" t="n">
        <v>110</v>
      </c>
      <c r="C10" s="2" t="inlineStr">
        <is>
          <t>Reference total</t>
        </is>
      </c>
    </row>
    <row r="11">
      <c r="A11" s="2" t="n"/>
      <c r="B11" s="2" t="n"/>
      <c r="C11" s="2" t="n"/>
    </row>
    <row r="12" ht="45" customHeight="1">
      <c r="A12" s="2" t="inlineStr">
        <is>
          <t>Important</t>
        </is>
      </c>
      <c r="B12" s="2" t="inlineStr">
        <is>
          <t>LEED v5 BD+C does not use Innovation and Regional Priority as separate standalone categories.</t>
        </is>
      </c>
      <c r="C12" s="7" t="n"/>
    </row>
  </sheetData>
  <autoFilter ref="A1:C12"/>
  <mergeCells count="1"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90" customWidth="1" min="3" max="3"/>
    <col width="70" customWidth="1" min="4" max="4"/>
  </cols>
  <sheetData>
    <row r="1">
      <c r="A1" s="1" t="inlineStr">
        <is>
          <t>Sr. No.</t>
        </is>
      </c>
      <c r="B1" s="1" t="inlineStr">
        <is>
          <t>Building / Topic</t>
        </is>
      </c>
      <c r="C1" s="1" t="inlineStr">
        <is>
          <t>Source</t>
        </is>
      </c>
      <c r="D1" s="1" t="inlineStr">
        <is>
          <t>Key documented fact</t>
        </is>
      </c>
    </row>
    <row r="2" ht="55" customHeight="1">
      <c r="A2" s="2" t="n">
        <v>1</v>
      </c>
      <c r="B2" s="2" t="inlineStr">
        <is>
          <t>CII–Sohrabji Godrej Green Business Centre</t>
        </is>
      </c>
      <c r="C2" s="2" t="inlineStr">
        <is>
          <t>https://energy.greenbusinesscentre.com/shobraj.php</t>
        </is>
      </c>
      <c r="D2" s="2" t="inlineStr">
        <is>
          <t>IGBC Net Zero Energy Platinum; 85 credit points.</t>
        </is>
      </c>
    </row>
    <row r="3" ht="55" customHeight="1">
      <c r="A3" s="2" t="n">
        <v>1</v>
      </c>
      <c r="B3" s="2" t="inlineStr">
        <is>
          <t>CII–Sohrabji Godrej Green Business Centre</t>
        </is>
      </c>
      <c r="C3" s="2" t="inlineStr">
        <is>
          <t>https://www.kathwilliams.com/project/1/CII-Sohrabji-Godrej-Green-Business-Centre</t>
        </is>
      </c>
      <c r="D3" s="2" t="inlineStr">
        <is>
          <t>LEED Platinum 2003; LEED NC v2.0; historical 56/69 cited.</t>
        </is>
      </c>
    </row>
    <row r="4" ht="55" customHeight="1">
      <c r="A4" s="2" t="n">
        <v>2</v>
      </c>
      <c r="B4" s="2" t="inlineStr">
        <is>
          <t>Suzlon One Earth</t>
        </is>
      </c>
      <c r="C4" s="2" t="inlineStr">
        <is>
          <t>https://www.e-architect.com/india/suzlon-one-earth</t>
        </is>
      </c>
      <c r="D4" s="2" t="inlineStr">
        <is>
          <t>LEED Platinum; 56/57 points reported.</t>
        </is>
      </c>
    </row>
    <row r="5" ht="55" customHeight="1">
      <c r="A5" s="2" t="n">
        <v>3</v>
      </c>
      <c r="B5" s="2" t="inlineStr">
        <is>
          <t>ITC Green Centre</t>
        </is>
      </c>
      <c r="C5" s="2" t="inlineStr">
        <is>
          <t>https://www.kathwilliams.com/project/2/itc-green-centre</t>
        </is>
      </c>
      <c r="D5" s="2" t="inlineStr">
        <is>
          <t>LEED Platinum 2004; LEED NC v2.1; 56/69 points reported by this source.</t>
        </is>
      </c>
    </row>
    <row r="6" ht="55" customHeight="1">
      <c r="A6" s="2" t="n">
        <v>3</v>
      </c>
      <c r="B6" s="2" t="inlineStr">
        <is>
          <t>ITC Green Centre</t>
        </is>
      </c>
      <c r="C6" s="2" t="inlineStr">
        <is>
          <t>https://www.itcportal.com/sustainability/sustainability-report-2012/sustainability-report-2012.pdf</t>
        </is>
      </c>
      <c r="D6" s="2" t="inlineStr">
        <is>
          <t>ITC sustainability report confirms Green Centre as LEED Platinum and discusses 2012 recertification.</t>
        </is>
      </c>
    </row>
    <row r="7" ht="55" customHeight="1">
      <c r="A7" s="2" t="n">
        <v>4</v>
      </c>
      <c r="B7" s="2" t="inlineStr">
        <is>
          <t>Infosys Pocharam</t>
        </is>
      </c>
      <c r="C7" s="2" t="inlineStr">
        <is>
          <t>https://www.gbig.org/places/8191/activities?dir=desc&amp;page=21&amp;place_id=8191&amp;search%5Bgreen%5D=true&amp;search%5Bplace_ids%5D=8191&amp;sort=Projects.certification_date&amp;sort_field=Projects.name&amp;type=activities&amp;view=list</t>
        </is>
      </c>
      <c r="D7" s="2" t="inlineStr">
        <is>
          <t>SDB 4 Pocharam: LEED v4.1 O+M EB Platinum, 86 points; SDB 5: 85 points.</t>
        </is>
      </c>
    </row>
    <row r="8" ht="55" customHeight="1">
      <c r="A8" s="2" t="n">
        <v>5</v>
      </c>
      <c r="B8" s="2" t="inlineStr">
        <is>
          <t>Indira Paryavaran Bhawan</t>
        </is>
      </c>
      <c r="C8" s="2" t="inlineStr">
        <is>
          <t>https://www.pib.gov.in/newsite/PrintRelease.aspx?lang=2&amp;reg=48&amp;relid=104214</t>
        </is>
      </c>
      <c r="D8" s="2" t="inlineStr">
        <is>
          <t>LEED India Platinum and GRIHA 5-Star stated by Government of India.</t>
        </is>
      </c>
    </row>
    <row r="9" ht="55" customHeight="1">
      <c r="A9" s="2" t="n">
        <v>5</v>
      </c>
      <c r="B9" s="2" t="inlineStr">
        <is>
          <t>Indira Paryavaran Bhawan</t>
        </is>
      </c>
      <c r="C9" s="2" t="inlineStr">
        <is>
          <t>https://www.grihaindia.org/sites/default/files/sites/default/files/pdf/case-studies/Indira-Paryavaran-Bhawani.pdf</t>
        </is>
      </c>
      <c r="D9" s="2" t="inlineStr">
        <is>
          <t>GRIHA provisional 5-Star; project case study.</t>
        </is>
      </c>
    </row>
    <row r="10" ht="55" customHeight="1">
      <c r="A10" s="2" t="n">
        <v>6</v>
      </c>
      <c r="B10" s="2" t="inlineStr">
        <is>
          <t>Patni Knowledge Centre</t>
        </is>
      </c>
      <c r="C10" s="2" t="inlineStr">
        <is>
          <t>https://www.sec.gov/Archives/edgar/data/1324503/000110465909037038/a09-14941_16k.htm</t>
        </is>
      </c>
      <c r="D10" s="2" t="inlineStr">
        <is>
          <t>Company filing states LEED Platinum by IGBC in Oct 2008.</t>
        </is>
      </c>
    </row>
    <row r="11" ht="55" customHeight="1">
      <c r="A11" s="2" t="n">
        <v>7</v>
      </c>
      <c r="B11" s="2" t="inlineStr">
        <is>
          <t>Olympia Technology Park</t>
        </is>
      </c>
      <c r="C11" s="2" t="inlineStr">
        <is>
          <t>https://www.olympiagroup.in/olympia-commercial-properties/</t>
        </is>
      </c>
      <c r="D11" s="2" t="inlineStr">
        <is>
          <t>Developer confirms USGBC LEED Gold.</t>
        </is>
      </c>
    </row>
    <row r="12" ht="55" customHeight="1">
      <c r="A12" s="2" t="n">
        <v>7</v>
      </c>
      <c r="B12" s="2" t="inlineStr">
        <is>
          <t>Olympia Technology Park</t>
        </is>
      </c>
      <c r="C12" s="2" t="inlineStr">
        <is>
          <t>https://www.olympiagroup.in/olympia-awards.html</t>
        </is>
      </c>
      <c r="D12" s="2" t="inlineStr">
        <is>
          <t>Developer page confirms Gold rating under LEED CS.</t>
        </is>
      </c>
    </row>
    <row r="13" ht="55" customHeight="1">
      <c r="A13" s="2" t="n">
        <v>8</v>
      </c>
      <c r="B13" s="2" t="inlineStr">
        <is>
          <t>Rajiv Gandhi International Airport</t>
        </is>
      </c>
      <c r="C13" s="2" t="inlineStr">
        <is>
          <t>https://www.hyderabad.aero/about-us/green-sky-initiatives</t>
        </is>
      </c>
      <c r="D13" s="2" t="inlineStr">
        <is>
          <t>Current airport page states passenger terminal is USGBC LEED Platinum.</t>
        </is>
      </c>
    </row>
    <row r="14" ht="55" customHeight="1">
      <c r="A14" s="2" t="n">
        <v>9</v>
      </c>
      <c r="B14" s="2" t="inlineStr">
        <is>
          <t>Godrej Bhavan</t>
        </is>
      </c>
      <c r="C14" s="2" t="inlineStr">
        <is>
          <t>https://www.grihaindia.org/grihasummit/tgs2015/presentations/Rumi-engineer-GoDREJ.pdf</t>
        </is>
      </c>
      <c r="D14" s="2" t="inlineStr">
        <is>
          <t>Presentation reports LEED EB O&amp;M v2 Gold, 56/92, with a category breakdown.</t>
        </is>
      </c>
    </row>
    <row r="15" ht="55" customHeight="1">
      <c r="A15" s="2" t="n">
        <v>9</v>
      </c>
      <c r="B15" s="2" t="inlineStr">
        <is>
          <t>Godrej Bhavan</t>
        </is>
      </c>
      <c r="C15" s="2" t="inlineStr">
        <is>
          <t>https://change.godrejenterprises.com/assets/pdf/CHANGESep11_L05030238.pdf</t>
        </is>
      </c>
      <c r="D15" s="2" t="inlineStr">
        <is>
          <t>Godrej publication confirms LEED EB O&amp;M Gold in Feb 2011.</t>
        </is>
      </c>
    </row>
    <row r="16" ht="55" customHeight="1">
      <c r="A16" s="2" t="n">
        <v>10</v>
      </c>
      <c r="B16" s="2" t="inlineStr">
        <is>
          <t>Infosys Bengaluru campuses</t>
        </is>
      </c>
      <c r="C16" s="2" t="inlineStr">
        <is>
          <t>https://www.infosys.com/about/esg/environmental/energy/us-green-building-council.html</t>
        </is>
      </c>
      <c r="D16" s="2" t="inlineStr">
        <is>
          <t>Infosys confirms LEED Platinum Existing Building certification across campuses including Bengaluru.</t>
        </is>
      </c>
    </row>
    <row r="17">
      <c r="A17" s="11" t="n"/>
      <c r="B17" s="11" t="n"/>
      <c r="C17" s="11" t="n"/>
      <c r="D17" s="11" t="n"/>
    </row>
    <row r="18">
      <c r="A18" s="11" t="inlineStr">
        <is>
          <t>Updated verification notes (2026-09-22)</t>
        </is>
      </c>
      <c r="B18" s="11" t="n"/>
      <c r="C18" s="11" t="n"/>
      <c r="D18" s="11" t="n"/>
    </row>
    <row r="19">
      <c r="A19" s="11" t="inlineStr">
        <is>
          <t>CII-Godrej GBC</t>
        </is>
      </c>
      <c r="B19" s="11" t="inlineStr">
        <is>
          <t>Historical LEED v2.0 score 56/59; current IGBC Net Zero Energy Platinum is 85 points under a different system.</t>
        </is>
      </c>
      <c r="C19" s="11" t="n"/>
      <c r="D19" s="11" t="n"/>
    </row>
    <row r="20">
      <c r="A20" s="11" t="inlineStr">
        <is>
          <t>Suzlon One Earth</t>
        </is>
      </c>
      <c r="B20" s="11" t="inlineStr">
        <is>
          <t>LEED-India score 57; GRIHA 96/100. Category allocation used is the published LEED-India table totaling 57.</t>
        </is>
      </c>
      <c r="C20" s="11" t="n"/>
      <c r="D20" s="11" t="n"/>
    </row>
    <row r="21">
      <c r="A21" s="11" t="inlineStr">
        <is>
          <t>ITC Green Centre</t>
        </is>
      </c>
      <c r="B21" s="11" t="inlineStr">
        <is>
          <t>Historical LEED Platinum score 56/69; category values in public case material are not treated as verified awarded points.</t>
        </is>
      </c>
      <c r="C21" s="11" t="n"/>
      <c r="D21" s="11" t="n"/>
    </row>
    <row r="22">
      <c r="A22" s="11" t="inlineStr">
        <is>
          <t>Indira Paryavaran Bhawan</t>
        </is>
      </c>
      <c r="B22" s="11" t="inlineStr">
        <is>
          <t>GRIHA 5-Star score 91/100; LEED India Platinum also documented.</t>
        </is>
      </c>
      <c r="C22" s="11" t="n"/>
      <c r="D22" s="11" t="n"/>
    </row>
    <row r="23">
      <c r="A23" s="11" t="inlineStr">
        <is>
          <t>Olympia Technology Park</t>
        </is>
      </c>
      <c r="B23" s="11" t="inlineStr">
        <is>
          <t>IGBC Existing Building Platinum score 88/90; not a LEED score.</t>
        </is>
      </c>
      <c r="C23" s="11" t="n"/>
      <c r="D23" s="11" t="n"/>
    </row>
    <row r="24">
      <c r="A24" s="11" t="inlineStr">
        <is>
          <t>Godrej Bhavan</t>
        </is>
      </c>
      <c r="B24" s="11" t="inlineStr">
        <is>
          <t>LEED EB O&amp;M v2 Gold, 56/92 documented; public category figures do not reconcile to 56, so workbook uses illustrative comparison values.</t>
        </is>
      </c>
      <c r="C24" s="11" t="n"/>
      <c r="D24" s="11" t="n"/>
    </row>
    <row r="25">
      <c r="A25" s="11" t="inlineStr">
        <is>
          <t>RGIA terminal expansion</t>
        </is>
      </c>
      <c r="B25" s="11" t="inlineStr">
        <is>
          <t>LEED v4 BD+C NC &amp; Major Renovations, 84 points, Platinum.</t>
        </is>
      </c>
      <c r="C25" s="11" t="n"/>
      <c r="D25" s="11" t="n"/>
    </row>
  </sheetData>
  <autoFilter ref="A1:D16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DB8DEB99-97BC-40BD-8A5F-492CFA146015}"/>
</file>

<file path=customXml/itemProps2.xml><?xml version="1.0" encoding="utf-8"?>
<ds:datastoreItem xmlns:ds="http://schemas.openxmlformats.org/officeDocument/2006/customXml" ds:itemID="{118ACAD5-3AC4-4E97-95FE-B335B47D1964}"/>
</file>

<file path=customXml/itemProps3.xml><?xml version="1.0" encoding="utf-8"?>
<ds:datastoreItem xmlns:ds="http://schemas.openxmlformats.org/officeDocument/2006/customXml" ds:itemID="{88C0BA6A-C08D-462E-ABA4-C78448E4E3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2026-09-22T06:50:52Z</dcterms:created>
  <dcterms:modified xsi:type="dcterms:W3CDTF">2026-09-22T06:57:02Z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