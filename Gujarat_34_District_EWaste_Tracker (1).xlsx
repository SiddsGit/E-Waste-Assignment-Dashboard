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showInkAnnotation="0" autoCompressPictures="0"/>
  <xr:revisionPtr revIDLastSave="1" documentId="11_2B8724F29935816D782B09FDC486B1C196328DBB" xr6:coauthVersionLast="47" xr6:coauthVersionMax="47" xr10:uidLastSave="{F64421F3-8163-426C-9C82-182DF5676DA7}"/>
  <bookViews>
    <workbookView xWindow="0" yWindow="0" windowWidth="0" windowHeight="0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9" l="1"/>
  <c r="C42" i="9"/>
  <c r="C41" i="9"/>
  <c r="C43" i="8"/>
  <c r="C42" i="8"/>
  <c r="C41" i="8"/>
  <c r="C44" i="7"/>
  <c r="C43" i="7"/>
  <c r="C42" i="7"/>
  <c r="C41" i="7"/>
  <c r="C46" i="6"/>
  <c r="C45" i="6"/>
  <c r="C44" i="6"/>
  <c r="C43" i="6"/>
  <c r="C42" i="6"/>
  <c r="C41" i="6"/>
  <c r="G40" i="5"/>
  <c r="F40" i="5"/>
  <c r="E40" i="5"/>
  <c r="D40" i="5"/>
  <c r="G40" i="4"/>
  <c r="F40" i="4"/>
  <c r="E40" i="4"/>
  <c r="D40" i="4"/>
  <c r="I40" i="3"/>
  <c r="H40" i="3"/>
  <c r="G40" i="3"/>
  <c r="F40" i="3"/>
  <c r="E40" i="3"/>
  <c r="D40" i="3"/>
  <c r="C40" i="3"/>
  <c r="J39" i="3"/>
  <c r="C39" i="4" s="1"/>
  <c r="J38" i="3"/>
  <c r="C38" i="4" s="1"/>
  <c r="J37" i="3"/>
  <c r="C37" i="4" s="1"/>
  <c r="J36" i="3"/>
  <c r="C36" i="4" s="1"/>
  <c r="J35" i="3"/>
  <c r="C35" i="4" s="1"/>
  <c r="J34" i="3"/>
  <c r="C34" i="4" s="1"/>
  <c r="J33" i="3"/>
  <c r="C33" i="4" s="1"/>
  <c r="J32" i="3"/>
  <c r="C32" i="4" s="1"/>
  <c r="J31" i="3"/>
  <c r="C31" i="4" s="1"/>
  <c r="J30" i="3"/>
  <c r="C30" i="4" s="1"/>
  <c r="J29" i="3"/>
  <c r="C29" i="4" s="1"/>
  <c r="J28" i="3"/>
  <c r="C28" i="4" s="1"/>
  <c r="J27" i="3"/>
  <c r="C27" i="4" s="1"/>
  <c r="J26" i="3"/>
  <c r="C26" i="4" s="1"/>
  <c r="J25" i="3"/>
  <c r="C25" i="4" s="1"/>
  <c r="J24" i="3"/>
  <c r="C24" i="4" s="1"/>
  <c r="J23" i="3"/>
  <c r="C23" i="4" s="1"/>
  <c r="J22" i="3"/>
  <c r="C22" i="4" s="1"/>
  <c r="J21" i="3"/>
  <c r="C21" i="4" s="1"/>
  <c r="J20" i="3"/>
  <c r="C20" i="4" s="1"/>
  <c r="J19" i="3"/>
  <c r="C19" i="4" s="1"/>
  <c r="J18" i="3"/>
  <c r="C18" i="4" s="1"/>
  <c r="J17" i="3"/>
  <c r="C17" i="4" s="1"/>
  <c r="J16" i="3"/>
  <c r="C16" i="4" s="1"/>
  <c r="J15" i="3"/>
  <c r="C15" i="4" s="1"/>
  <c r="J14" i="3"/>
  <c r="C14" i="4" s="1"/>
  <c r="J13" i="3"/>
  <c r="C13" i="4" s="1"/>
  <c r="J12" i="3"/>
  <c r="C12" i="4" s="1"/>
  <c r="J11" i="3"/>
  <c r="C11" i="4" s="1"/>
  <c r="J10" i="3"/>
  <c r="C10" i="4" s="1"/>
  <c r="J9" i="3"/>
  <c r="C9" i="4" s="1"/>
  <c r="J8" i="3"/>
  <c r="C8" i="4" s="1"/>
  <c r="J7" i="3"/>
  <c r="C7" i="4" s="1"/>
  <c r="J6" i="3"/>
  <c r="D17" i="1"/>
  <c r="F16" i="1"/>
  <c r="G16" i="1" s="1"/>
  <c r="H16" i="1" s="1"/>
  <c r="F15" i="1"/>
  <c r="G15" i="1" s="1"/>
  <c r="H15" i="1" s="1"/>
  <c r="F14" i="1"/>
  <c r="G14" i="1" s="1"/>
  <c r="H14" i="1" s="1"/>
  <c r="F13" i="1"/>
  <c r="G13" i="1" s="1"/>
  <c r="H13" i="1" s="1"/>
  <c r="F10" i="1"/>
  <c r="G10" i="1" s="1"/>
  <c r="H10" i="1" s="1"/>
  <c r="C6" i="4" l="1"/>
  <c r="C40" i="4" s="1"/>
  <c r="J40" i="3"/>
  <c r="F12" i="1" l="1"/>
  <c r="G12" i="1" s="1"/>
  <c r="H12" i="1" s="1"/>
  <c r="F11" i="1"/>
  <c r="G11" i="1" s="1"/>
  <c r="H11" i="1" s="1"/>
  <c r="H17" i="1" s="1"/>
  <c r="F5" i="1" l="1"/>
  <c r="D5" i="1"/>
</calcChain>
</file>

<file path=xl/sharedStrings.xml><?xml version="1.0" encoding="utf-8"?>
<sst xmlns="http://schemas.openxmlformats.org/spreadsheetml/2006/main" count="1131" uniqueCount="389">
  <si>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</si>
  <si>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</si>
  <si>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</si>
  <si>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</si>
  <si>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</si>
  <si>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</si>
  <si>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</si>
  <si>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</si>
  <si>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</si>
  <si>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</si>
  <si>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</si>
  <si>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</si>
  <si>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</si>
  <si>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</si>
  <si>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</si>
  <si>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</si>
  <si>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</si>
  <si>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</si>
  <si>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</si>
  <si>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</si>
  <si>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</si>
  <si>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</si>
  <si>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</si>
  <si>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</si>
  <si>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</si>
  <si>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</si>
  <si>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</si>
  <si>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</si>
  <si>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</si>
  <si>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</si>
  <si>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</si>
  <si>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</si>
  <si>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</si>
  <si>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</si>
  <si>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</si>
  <si>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</si>
  <si>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</si>
  <si>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</si>
  <si>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</si>
  <si>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</si>
  <si>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Data note</t>
  </si>
  <si>
    <t>The workbook has been populated for all 34 Gujarat districts. Population values are based on Census-2011-era district totals and administrative split estimates. Operational e-waste, collection, recycling, compliance, health and awareness figures are academic planning estimates—not official reported statistics.</t>
  </si>
  <si>
    <t>District source</t>
  </si>
  <si>
    <t>https://vavtharad.nic.in/about-district/history/</t>
  </si>
  <si>
    <t>Population reference</t>
  </si>
  <si>
    <t>https://trti.gujarat.gov.in/district-wise-population</t>
  </si>
  <si>
    <t>E-waste reference</t>
  </si>
  <si>
    <t>https://gpcb.gujarat.gov.in/Home/EWaste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</si>
  <si>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</si>
  <si>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</si>
  <si>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</si>
  <si>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</si>
  <si>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</si>
  <si>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</si>
  <si>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</si>
  <si>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</si>
  <si>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</si>
  <si>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</si>
  <si>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</si>
  <si>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</si>
  <si>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Ahmedabad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</si>
  <si>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</si>
  <si>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</si>
  <si>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</si>
  <si>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</si>
  <si>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</si>
  <si>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</si>
  <si>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</si>
  <si>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</si>
  <si>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</si>
  <si>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</si>
  <si>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</si>
  <si>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</si>
  <si>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</si>
  <si>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</si>
  <si>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</si>
  <si>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Kheda</t>
  </si>
  <si>
    <t>Kutch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</si>
  <si>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</si>
  <si>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</si>
  <si>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</si>
  <si>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</si>
  <si>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</si>
  <si>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</si>
  <si>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</si>
  <si>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</si>
  <si>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</si>
  <si>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</si>
  <si>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</si>
  <si>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</si>
  <si>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</si>
  <si>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</si>
  <si>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</si>
  <si>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Vav-Tharad</t>
  </si>
  <si>
    <t>STATE TOTAL</t>
  </si>
  <si>
    <t>Note: Population is Census-2011-based / administrative split estimate; e-waste quantities are planning estimates for academic analysis.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</si>
  <si>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</si>
  <si>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</si>
  <si>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</si>
  <si>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</si>
  <si>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</si>
  <si>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</si>
  <si>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</si>
  <si>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</si>
  <si>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District collection through registered centres and producer take-back channels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</si>
  <si>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</si>
  <si>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</si>
  <si>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</si>
  <si>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</si>
  <si>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</si>
  <si>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</si>
  <si>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</si>
  <si>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</si>
  <si>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Ahmedabad Authorized E-Waste Recovery Centre</t>
  </si>
  <si>
    <t>GPCB/EW/2026/001</t>
  </si>
  <si>
    <t>Amreli Authorized E-Waste Recovery Centre</t>
  </si>
  <si>
    <t>GPCB/EW/2026/002</t>
  </si>
  <si>
    <t>Anand Authorized E-Waste Recovery Centre</t>
  </si>
  <si>
    <t>GPCB/EW/2026/003</t>
  </si>
  <si>
    <t>Aravalli Authorized E-Waste Recovery Centre</t>
  </si>
  <si>
    <t>GPCB/EW/2026/004</t>
  </si>
  <si>
    <t>Banaskantha Authorized E-Waste Recovery Centre</t>
  </si>
  <si>
    <t>GPCB/EW/2026/005</t>
  </si>
  <si>
    <t>Bharuch Authorized E-Waste Recovery Centre</t>
  </si>
  <si>
    <t>GPCB/EW/2026/006</t>
  </si>
  <si>
    <t>Bhavnagar Authorized E-Waste Recovery Centre</t>
  </si>
  <si>
    <t>GPCB/EW/2026/007</t>
  </si>
  <si>
    <t>Botad Authorized E-Waste Recovery Centre</t>
  </si>
  <si>
    <t>GPCB/EW/2026/008</t>
  </si>
  <si>
    <t>Chhota Udaipur Authorized E-Waste Recovery Centre</t>
  </si>
  <si>
    <t>GPCB/EW/2026/009</t>
  </si>
  <si>
    <t>Dahod Authorized E-Waste Recovery Centre</t>
  </si>
  <si>
    <t>GPCB/EW/2026/010</t>
  </si>
  <si>
    <t>Dang Authorized E-Waste Recovery Centre</t>
  </si>
  <si>
    <t>GPCB/EW/2026/011</t>
  </si>
  <si>
    <t>Devbhoomi Dwarka Authorized E-Waste Recovery Centre</t>
  </si>
  <si>
    <t>GPCB/EW/2026/012</t>
  </si>
  <si>
    <t>Gandhinagar Authorized E-Waste Recovery Centre</t>
  </si>
  <si>
    <t>GPCB/EW/2026/013</t>
  </si>
  <si>
    <t>Gir Somnath Authorized E-Waste Recovery Centre</t>
  </si>
  <si>
    <t>GPCB/EW/2026/014</t>
  </si>
  <si>
    <t>Jamnagar Authorized E-Waste Recovery Centre</t>
  </si>
  <si>
    <t>GPCB/EW/2026/015</t>
  </si>
  <si>
    <t>Junagadh Authorized E-Waste Recovery Centre</t>
  </si>
  <si>
    <t>GPCB/EW/2026/016</t>
  </si>
  <si>
    <t>Kheda Authorized E-Waste Recovery Centre</t>
  </si>
  <si>
    <t>GPCB/EW/2026/017</t>
  </si>
  <si>
    <t>Kutch Authorized E-Waste Recovery Centre</t>
  </si>
  <si>
    <t>GPCB/EW/2026/018</t>
  </si>
  <si>
    <t>Mahisagar Authorized E-Waste Recovery Centre</t>
  </si>
  <si>
    <t>GPCB/EW/2026/019</t>
  </si>
  <si>
    <t>Mehsana Authorized E-Waste Recovery Centre</t>
  </si>
  <si>
    <t>GPCB/EW/2026/020</t>
  </si>
  <si>
    <t>Morbi Authorized E-Waste Recovery Centre</t>
  </si>
  <si>
    <t>GPCB/EW/2026/021</t>
  </si>
  <si>
    <t>Narmada Authorized E-Waste Recovery Centre</t>
  </si>
  <si>
    <t>GPCB/EW/2026/022</t>
  </si>
  <si>
    <t>Navsari Authorized E-Waste Recovery Centre</t>
  </si>
  <si>
    <t>GPCB/EW/2026/023</t>
  </si>
  <si>
    <t>Panchmahal Authorized E-Waste Recovery Centre</t>
  </si>
  <si>
    <t>GPCB/EW/2026/024</t>
  </si>
  <si>
    <t>Patan Authorized E-Waste Recovery Centre</t>
  </si>
  <si>
    <t>GPCB/EW/2026/025</t>
  </si>
  <si>
    <t>Porbandar Authorized E-Waste Recovery Centre</t>
  </si>
  <si>
    <t>GPCB/EW/2026/026</t>
  </si>
  <si>
    <t>Rajkot Authorized E-Waste Recovery Centre</t>
  </si>
  <si>
    <t>GPCB/EW/2026/027</t>
  </si>
  <si>
    <t>Sabarkantha Authorized E-Waste Recovery Centre</t>
  </si>
  <si>
    <t>GPCB/EW/2026/028</t>
  </si>
  <si>
    <t>Surat Authorized E-Waste Recovery Centre</t>
  </si>
  <si>
    <t>GPCB/EW/2026/029</t>
  </si>
  <si>
    <t>Surendranagar Authorized E-Waste Recovery Centre</t>
  </si>
  <si>
    <t>GPCB/EW/2026/030</t>
  </si>
  <si>
    <t>Tapi Authorized E-Waste Recovery Centre</t>
  </si>
  <si>
    <t>GPCB/EW/2026/031</t>
  </si>
  <si>
    <t>Vadodara Authorized E-Waste Recovery Centre</t>
  </si>
  <si>
    <t>GPCB/EW/2026/032</t>
  </si>
  <si>
    <t>Valsad Authorized E-Waste Recovery Centre</t>
  </si>
  <si>
    <t>GPCB/EW/2026/033</t>
  </si>
  <si>
    <t>Vav-Tharad Authorized E-Waste Recovery Centre</t>
  </si>
  <si>
    <t>GPCB/EW/2026/034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</si>
  <si>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</si>
  <si>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</si>
  <si>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</si>
  <si>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</si>
  <si>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</si>
  <si>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</si>
  <si>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</si>
  <si>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</si>
  <si>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</si>
  <si>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Ahmedabad Producer Responsibility Consortium</t>
  </si>
  <si>
    <t>EPR/GJ/2026/0001</t>
  </si>
  <si>
    <t>Compliant</t>
  </si>
  <si>
    <t>Yes</t>
  </si>
  <si>
    <t>No</t>
  </si>
  <si>
    <t>N/A</t>
  </si>
  <si>
    <t>District-level annual EPR compliance review</t>
  </si>
  <si>
    <t>Amreli Producer Responsibility Consortium</t>
  </si>
  <si>
    <t>EPR/GJ/2026/0002</t>
  </si>
  <si>
    <t>Anand Producer Responsibility Consortium</t>
  </si>
  <si>
    <t>EPR/GJ/2026/0003</t>
  </si>
  <si>
    <t>Aravalli Producer Responsibility Consortium</t>
  </si>
  <si>
    <t>EPR/GJ/2026/0004</t>
  </si>
  <si>
    <t>Banaskantha Producer Responsibility Consortium</t>
  </si>
  <si>
    <t>EPR/GJ/2026/0005</t>
  </si>
  <si>
    <t>Bharuch Producer Responsibility Consortium</t>
  </si>
  <si>
    <t>EPR/GJ/2026/0006</t>
  </si>
  <si>
    <t>Partially Compliant</t>
  </si>
  <si>
    <t>Bhavnagar Producer Responsibility Consortium</t>
  </si>
  <si>
    <t>EPR/GJ/2026/0007</t>
  </si>
  <si>
    <t>Botad Producer Responsibility Consortium</t>
  </si>
  <si>
    <t>EPR/GJ/2026/0008</t>
  </si>
  <si>
    <t>Chhota Udaipur Producer Responsibility Consortium</t>
  </si>
  <si>
    <t>EPR/GJ/2026/0009</t>
  </si>
  <si>
    <t>Dahod Producer Responsibility Consortium</t>
  </si>
  <si>
    <t>EPR/GJ/2026/0010</t>
  </si>
  <si>
    <t>Dang Producer Responsibility Consortium</t>
  </si>
  <si>
    <t>EPR/GJ/2026/0011</t>
  </si>
  <si>
    <t>Devbhoomi Dwarka Producer Responsibility Consortium</t>
  </si>
  <si>
    <t>EPR/GJ/2026/0012</t>
  </si>
  <si>
    <t>Gandhinagar Producer Responsibility Consortium</t>
  </si>
  <si>
    <t>EPR/GJ/2026/0013</t>
  </si>
  <si>
    <t>Gir Somnath Producer Responsibility Consortium</t>
  </si>
  <si>
    <t>EPR/GJ/2026/0014</t>
  </si>
  <si>
    <t>Jamnagar Producer Responsibility Consortium</t>
  </si>
  <si>
    <t>EPR/GJ/2026/0015</t>
  </si>
  <si>
    <t>Junagadh Producer Responsibility Consortium</t>
  </si>
  <si>
    <t>EPR/GJ/2026/0016</t>
  </si>
  <si>
    <t>Kheda Producer Responsibility Consortium</t>
  </si>
  <si>
    <t>EPR/GJ/2026/0017</t>
  </si>
  <si>
    <t>Kutch Producer Responsibility Consortium</t>
  </si>
  <si>
    <t>EPR/GJ/2026/0018</t>
  </si>
  <si>
    <t>Mahisagar Producer Responsibility Consortium</t>
  </si>
  <si>
    <t>EPR/GJ/2026/0019</t>
  </si>
  <si>
    <t>Mehsana Producer Responsibility Consortium</t>
  </si>
  <si>
    <t>EPR/GJ/2026/0020</t>
  </si>
  <si>
    <t>Morbi Producer Responsibility Consortium</t>
  </si>
  <si>
    <t>EPR/GJ/2026/0021</t>
  </si>
  <si>
    <t>Narmada Producer Responsibility Consortium</t>
  </si>
  <si>
    <t>EPR/GJ/2026/0022</t>
  </si>
  <si>
    <t>Navsari Producer Responsibility Consortium</t>
  </si>
  <si>
    <t>EPR/GJ/2026/0023</t>
  </si>
  <si>
    <t>Panchmahal Producer Responsibility Consortium</t>
  </si>
  <si>
    <t>EPR/GJ/2026/0024</t>
  </si>
  <si>
    <t>Patan Producer Responsibility Consortium</t>
  </si>
  <si>
    <t>EPR/GJ/2026/0025</t>
  </si>
  <si>
    <t>Porbandar Producer Responsibility Consortium</t>
  </si>
  <si>
    <t>EPR/GJ/2026/0026</t>
  </si>
  <si>
    <t>Rajkot Producer Responsibility Consortium</t>
  </si>
  <si>
    <t>EPR/GJ/2026/0027</t>
  </si>
  <si>
    <t>Sabarkantha Producer Responsibility Consortium</t>
  </si>
  <si>
    <t>EPR/GJ/2026/0028</t>
  </si>
  <si>
    <t>Surat Producer Responsibility Consortium</t>
  </si>
  <si>
    <t>EPR/GJ/2026/0029</t>
  </si>
  <si>
    <t>Surendranagar Producer Responsibility Consortium</t>
  </si>
  <si>
    <t>EPR/GJ/2026/0030</t>
  </si>
  <si>
    <t>Tapi Producer Responsibility Consortium</t>
  </si>
  <si>
    <t>EPR/GJ/2026/0031</t>
  </si>
  <si>
    <t>Vadodara Producer Responsibility Consortium</t>
  </si>
  <si>
    <t>EPR/GJ/2026/0032</t>
  </si>
  <si>
    <t>Valsad Producer Responsibility Consortium</t>
  </si>
  <si>
    <t>EPR/GJ/2026/0033</t>
  </si>
  <si>
    <t>Vav-Tharad Producer Responsibility Consortium</t>
  </si>
  <si>
    <t>EPR/GJ/2026/0034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</si>
  <si>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</si>
  <si>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</si>
  <si>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</si>
  <si>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</si>
  <si>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</si>
  <si>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</si>
  <si>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</si>
  <si>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</si>
  <si>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</si>
  <si>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</si>
  <si>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</si>
  <si>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</si>
  <si>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Ahmedabad Scrap &amp; Repair Cluster</t>
  </si>
  <si>
    <t>Under Formalization</t>
  </si>
  <si>
    <t>Registration, PPE distribution, training and linkage with authorized recycler</t>
  </si>
  <si>
    <t>Quarterly follow-up by district administration</t>
  </si>
  <si>
    <t>Amreli Scrap &amp; Repair Cluster</t>
  </si>
  <si>
    <t>Partially Formalized</t>
  </si>
  <si>
    <t>Anand Scrap &amp; Repair Cluster</t>
  </si>
  <si>
    <t>Formalized</t>
  </si>
  <si>
    <t>Aravalli Scrap &amp; Repair Cluster</t>
  </si>
  <si>
    <t>Identified</t>
  </si>
  <si>
    <t>Banaskantha Scrap &amp; Repair Cluster</t>
  </si>
  <si>
    <t>Bharuch Scrap &amp; Repair Cluster</t>
  </si>
  <si>
    <t>Bhavnagar Scrap &amp; Repair Cluster</t>
  </si>
  <si>
    <t>Botad Scrap &amp; Repair Cluster</t>
  </si>
  <si>
    <t>Chhota Udaipur Scrap &amp; Repair Cluster</t>
  </si>
  <si>
    <t>Dahod Scrap &amp; Repair Cluster</t>
  </si>
  <si>
    <t>Dang Scrap &amp; Repair Cluster</t>
  </si>
  <si>
    <t>Devbhoomi Dwarka Scrap &amp; Repair Cluster</t>
  </si>
  <si>
    <t>Gandhinagar Scrap &amp; Repair Cluster</t>
  </si>
  <si>
    <t>Gir Somnath Scrap &amp; Repair Cluster</t>
  </si>
  <si>
    <t>Jamnagar Scrap &amp; Repair Cluster</t>
  </si>
  <si>
    <t>Junagadh Scrap &amp; Repair Cluster</t>
  </si>
  <si>
    <t>Kheda Scrap &amp; Repair Cluster</t>
  </si>
  <si>
    <t>Kutch Scrap &amp; Repair Cluster</t>
  </si>
  <si>
    <t>Mahisagar Scrap &amp; Repair Cluster</t>
  </si>
  <si>
    <t>Mehsana Scrap &amp; Repair Cluster</t>
  </si>
  <si>
    <t>Morbi Scrap &amp; Repair Cluster</t>
  </si>
  <si>
    <t>Narmada Scrap &amp; Repair Cluster</t>
  </si>
  <si>
    <t>Navsari Scrap &amp; Repair Cluster</t>
  </si>
  <si>
    <t>Panchmahal Scrap &amp; Repair Cluster</t>
  </si>
  <si>
    <t>Patan Scrap &amp; Repair Cluster</t>
  </si>
  <si>
    <t>Porbandar Scrap &amp; Repair Cluster</t>
  </si>
  <si>
    <t>Rajkot Scrap &amp; Repair Cluster</t>
  </si>
  <si>
    <t>Sabarkantha Scrap &amp; Repair Cluster</t>
  </si>
  <si>
    <t>Surat Scrap &amp; Repair Cluster</t>
  </si>
  <si>
    <t>Surendranagar Scrap &amp; Repair Cluster</t>
  </si>
  <si>
    <t>Tapi Scrap &amp; Repair Cluster</t>
  </si>
  <si>
    <t>Vadodara Scrap &amp; Repair Cluster</t>
  </si>
  <si>
    <t>Valsad Scrap &amp; Repair Cluster</t>
  </si>
  <si>
    <t>Vav-Tharad Scrap &amp; Repair Cluster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</si>
  <si>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</si>
  <si>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</si>
  <si>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</si>
  <si>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</si>
  <si>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</si>
  <si>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</si>
  <si>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</si>
  <si>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</si>
  <si>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</si>
  <si>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</si>
  <si>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</si>
  <si>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</si>
  <si>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Air + Soil</t>
  </si>
  <si>
    <t>Corrective Action Required</t>
  </si>
  <si>
    <t>Sampling records and health screening summary filed with district cell</t>
  </si>
  <si>
    <t>Groundwater</t>
  </si>
  <si>
    <t>Within Limit</t>
  </si>
  <si>
    <t>Workplace Exposure</t>
  </si>
  <si>
    <t>Soil + Water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</si>
  <si>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</si>
  <si>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</si>
  <si>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</si>
  <si>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</si>
  <si>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</si>
  <si>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</si>
  <si>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</si>
  <si>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</si>
  <si>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</si>
  <si>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E-Waste Awareness &amp; Collection Campaign - Ahmedabad</t>
  </si>
  <si>
    <t>RWA Awareness Camp</t>
  </si>
  <si>
    <t>Households and resident associations</t>
  </si>
  <si>
    <t>E-Waste Awareness &amp; Collection Campaign - Amreli</t>
  </si>
  <si>
    <t>College E-Waste Drive</t>
  </si>
  <si>
    <t>College youth and faculty</t>
  </si>
  <si>
    <t>E-Waste Awareness &amp; Collection Campaign - Anand</t>
  </si>
  <si>
    <t>Market Take-Back Campaign</t>
  </si>
  <si>
    <t>Retailers and consumers</t>
  </si>
  <si>
    <t>E-Waste Awareness &amp; Collection Campaign - Aravalli</t>
  </si>
  <si>
    <t>School Collection Drive</t>
  </si>
  <si>
    <t>Students and teachers</t>
  </si>
  <si>
    <t>E-Waste Awareness &amp; Collection Campaign - Banaskantha</t>
  </si>
  <si>
    <t>E-Waste Awareness &amp; Collection Campaign - Bharuch</t>
  </si>
  <si>
    <t>E-Waste Awareness &amp; Collection Campaign - Bhavnagar</t>
  </si>
  <si>
    <t>E-Waste Awareness &amp; Collection Campaign - Botad</t>
  </si>
  <si>
    <t>E-Waste Awareness &amp; Collection Campaign - Chhota Udaipur</t>
  </si>
  <si>
    <t>E-Waste Awareness &amp; Collection Campaign - Dahod</t>
  </si>
  <si>
    <t>E-Waste Awareness &amp; Collection Campaign - Dang</t>
  </si>
  <si>
    <t>E-Waste Awareness &amp; Collection Campaign - Devbhoomi Dwarka</t>
  </si>
  <si>
    <t>E-Waste Awareness &amp; Collection Campaign - Gandhinagar</t>
  </si>
  <si>
    <t>E-Waste Awareness &amp; Collection Campaign - Gir Somnath</t>
  </si>
  <si>
    <t>E-Waste Awareness &amp; Collection Campaign - Jamnagar</t>
  </si>
  <si>
    <t>E-Waste Awareness &amp; Collection Campaign - Junagadh</t>
  </si>
  <si>
    <t>E-Waste Awareness &amp; Collection Campaign - Kheda</t>
  </si>
  <si>
    <t>E-Waste Awareness &amp; Collection Campaign - Kutch</t>
  </si>
  <si>
    <t>E-Waste Awareness &amp; Collection Campaign - Mahisagar</t>
  </si>
  <si>
    <t>E-Waste Awareness &amp; Collection Campaign - Mehsana</t>
  </si>
  <si>
    <t>E-Waste Awareness &amp; Collection Campaign - Morbi</t>
  </si>
  <si>
    <t>E-Waste Awareness &amp; Collection Campaign - Narmada</t>
  </si>
  <si>
    <t>E-Waste Awareness &amp; Collection Campaign - Navsari</t>
  </si>
  <si>
    <t>E-Waste Awareness &amp; Collection Campaign - Panchmahal</t>
  </si>
  <si>
    <t>E-Waste Awareness &amp; Collection Campaign - Patan</t>
  </si>
  <si>
    <t>E-Waste Awareness &amp; Collection Campaign - Porbandar</t>
  </si>
  <si>
    <t>E-Waste Awareness &amp; Collection Campaign - Rajkot</t>
  </si>
  <si>
    <t>E-Waste Awareness &amp; Collection Campaign - Sabarkantha</t>
  </si>
  <si>
    <t>E-Waste Awareness &amp; Collection Campaign - Surat</t>
  </si>
  <si>
    <t>E-Waste Awareness &amp; Collection Campaign - Surendranagar</t>
  </si>
  <si>
    <t>E-Waste Awareness &amp; Collection Campaign - Tapi</t>
  </si>
  <si>
    <t>E-Waste Awareness &amp; Collection Campaign - Vadodara</t>
  </si>
  <si>
    <t>E-Waste Awareness &amp; Collection Campaign - Valsad</t>
  </si>
  <si>
    <t>E-Waste Awareness &amp; Collection Campaign - Vav-Tharad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</si>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</sst>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dd\-mm\-yyyy"/>
  </numFmts>
  <fonts count="11">
    <font>
      <sz val="11"/>
      <color theme="1"/>
      <name val="Calibri"/>
    </font>
    <font>
      <sz val="10"/>
      <name val="Arial"/>
    </font>
    <font>
      <b/>
      <sz val="14"/>
      <color rgb="FFFFFFFF"/>
      <name val="Arial"/>
    </font>
    <font>
      <i/>
      <sz val="10"/>
      <color rgb="FF404040"/>
      <name val="Arial"/>
    </font>
    <font>
      <b/>
      <sz val="12"/>
      <color rgb="FFFFFFFF"/>
      <name val="Arial"/>
    </font>
    <font>
      <b/>
      <sz val="28"/>
      <color rgb="FF1F4E78"/>
      <name val="Arial"/>
    </font>
    <font>
      <b/>
      <sz val="14"/>
      <name val="Arial"/>
    </font>
    <font>
      <b/>
      <sz val="10"/>
      <color rgb="FFFFFFFF"/>
      <name val="Arial"/>
    </font>
    <font>
      <b/>
      <sz val="10"/>
      <name val="Arial"/>
    </font>
    <font>
      <b/>
      <sz val="11"/>
      <color rgb="FF1F4E78"/>
      <name val="Arial"/>
    </font>
    <font>
      <i/>
      <sz val="10"/>
      <color rgb="FF80808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/>
    <xf numFmtId="0" fontId="8" fillId="3" borderId="1" xfId="0" applyFont="1" applyFill="1" applyBorder="1"/>
    <xf numFmtId="0" fontId="8" fillId="0" borderId="1" xfId="0" applyFont="1" applyBorder="1"/>
    <xf numFmtId="0" fontId="10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166" fontId="10" fillId="6" borderId="1" xfId="0" applyNumberFormat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0" fontId="8" fillId="3" borderId="1" xfId="0" applyFont="1" applyFill="1" applyBorder="1" applyAlignment="1">
      <alignment wrapText="1"/>
    </xf>
    <xf numFmtId="165" fontId="8" fillId="3" borderId="1" xfId="0" applyNumberFormat="1" applyFont="1" applyFill="1" applyBorder="1" applyAlignment="1">
      <alignment wrapText="1"/>
    </xf>
    <xf numFmtId="0" fontId="1" fillId="0" borderId="0" xfId="0" applyFont="1"/>
    <xf numFmtId="0" fontId="3" fillId="0" borderId="0" xfId="0" applyFont="1" applyAlignment="1"/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tabSelected="1" workbookViewId="0">
      <selection activeCell="B1" sqref="B1:B1048576"/>
    </sheetView>
  </sheetViews>
  <sheetFormatPr defaultColWidth="8.7109375" defaultRowHeight="15"/>
  <cols>
    <col min="1" max="1" width="3" customWidth="1"/>
    <col min="2" max="2" width="6" customWidth="1"/>
    <col min="3" max="3" width="30" customWidth="1"/>
    <col min="4" max="4" width="10" customWidth="1"/>
    <col min="5" max="6" width="16" customWidth="1"/>
    <col min="7" max="7" width="14" customWidth="1"/>
    <col min="8" max="8" width="13" customWidth="1"/>
    <col min="9" max="9" width="10" customWidth="1"/>
  </cols>
  <sheetData>
    <row r="2" spans="1:9" ht="25.5" customHeight="1">
      <c r="A2" s="5" t="s">
        <v>0</v>
      </c>
      <c r="B2" s="5"/>
      <c r="C2" s="5"/>
      <c r="D2" s="5"/>
      <c r="E2" s="5"/>
      <c r="F2" s="5"/>
      <c r="G2" s="5"/>
      <c r="H2" s="5"/>
    </row>
    <row r="3" spans="1:9">
      <c r="B3" s="29" t="s">
        <v>1</v>
      </c>
      <c r="C3" s="29"/>
      <c r="D3" s="29"/>
      <c r="E3" s="29"/>
      <c r="F3" s="29"/>
      <c r="G3" s="29"/>
      <c r="H3" s="29"/>
      <c r="I3" s="29"/>
    </row>
    <row r="5" spans="1:9">
      <c r="B5" s="4" t="s">
        <v>2</v>
      </c>
      <c r="C5" s="4"/>
      <c r="D5" s="3">
        <f>ROUND(H17,1)</f>
        <v>77.8</v>
      </c>
      <c r="E5" s="3"/>
      <c r="F5" s="2" t="str">
        <f>IF(H17&gt;=85,"EXCELLENT",IF(H17&gt;=65,"GOOD",IF(H17&gt;=45,"NEEDS IMPROVEMENT","CRITICAL")))</f>
        <v>GOOD</v>
      </c>
      <c r="G5" s="2"/>
      <c r="H5" s="2"/>
      <c r="I5" s="2"/>
    </row>
    <row r="6" spans="1:9">
      <c r="B6" s="4"/>
      <c r="C6" s="4"/>
      <c r="D6" s="3"/>
      <c r="E6" s="3"/>
      <c r="F6" s="2"/>
      <c r="G6" s="2"/>
      <c r="H6" s="2"/>
      <c r="I6" s="2"/>
    </row>
    <row r="7" spans="1:9">
      <c r="B7" s="4"/>
      <c r="C7" s="4"/>
      <c r="D7" s="3"/>
      <c r="E7" s="3"/>
      <c r="F7" s="2"/>
      <c r="G7" s="2"/>
      <c r="H7" s="2"/>
      <c r="I7" s="2"/>
    </row>
    <row r="9" spans="1:9" ht="30" customHeight="1"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</row>
    <row r="10" spans="1:9" ht="30" customHeight="1">
      <c r="B10" s="8">
        <v>1</v>
      </c>
      <c r="C10" s="9" t="s">
        <v>10</v>
      </c>
      <c r="D10" s="8">
        <v>15</v>
      </c>
      <c r="E10" s="10">
        <v>34</v>
      </c>
      <c r="F10" s="8">
        <f>COUNTA('1_Generation_Inventory'!B6:B39)</f>
        <v>34</v>
      </c>
      <c r="G10" s="11">
        <f>IFERROR(MIN(F10/E10,1),0)</f>
        <v>1</v>
      </c>
      <c r="H10" s="12">
        <f>ROUND(G10*D10,1)</f>
        <v>15</v>
      </c>
    </row>
    <row r="11" spans="1:9" ht="30" customHeight="1">
      <c r="B11" s="8">
        <v>2</v>
      </c>
      <c r="C11" s="9" t="s">
        <v>11</v>
      </c>
      <c r="D11" s="8">
        <v>20</v>
      </c>
      <c r="E11" s="13">
        <v>1</v>
      </c>
      <c r="F11" s="11">
        <f>IFERROR('2_Collection_Log'!D40/'2_Collection_Log'!C40,0)</f>
        <v>0.6405133892944983</v>
      </c>
      <c r="G11" s="11">
        <f>IFERROR(MIN(F11/E11,1),0)</f>
        <v>0.6405133892944983</v>
      </c>
      <c r="H11" s="12">
        <f>ROUND(G11*D11,1)</f>
        <v>12.8</v>
      </c>
    </row>
    <row r="12" spans="1:9" ht="30" customHeight="1">
      <c r="B12" s="8">
        <v>3</v>
      </c>
      <c r="C12" s="9" t="s">
        <v>12</v>
      </c>
      <c r="D12" s="8">
        <v>20</v>
      </c>
      <c r="E12" s="13">
        <v>1</v>
      </c>
      <c r="F12" s="11">
        <f>IFERROR(('3_Recycling_Infrastructure'!F40*1000)/'2_Collection_Log'!C40,0)</f>
        <v>0.7342580454418326</v>
      </c>
      <c r="G12" s="11">
        <f>IFERROR(MIN(F12/E12,1),0)</f>
        <v>0.7342580454418326</v>
      </c>
      <c r="H12" s="12">
        <f>ROUND(G12*D12,1)</f>
        <v>14.7</v>
      </c>
    </row>
    <row r="13" spans="1:9" ht="30" customHeight="1">
      <c r="B13" s="8">
        <v>4</v>
      </c>
      <c r="C13" s="9" t="s">
        <v>13</v>
      </c>
      <c r="D13" s="8">
        <v>15</v>
      </c>
      <c r="E13" s="13">
        <v>1</v>
      </c>
      <c r="F13" s="11">
        <f>IFERROR('4_Compliance_Tracker'!C41/'4_Compliance_Tracker'!C42,0)</f>
        <v>0.8529411764705882</v>
      </c>
      <c r="G13" s="11">
        <f>IFERROR(MIN(F13/E13,1),0)</f>
        <v>0.8529411764705882</v>
      </c>
      <c r="H13" s="12">
        <f>ROUND(G13*D13,1)</f>
        <v>12.8</v>
      </c>
    </row>
    <row r="14" spans="1:9" ht="30" customHeight="1">
      <c r="B14" s="8">
        <v>5</v>
      </c>
      <c r="C14" s="9" t="s">
        <v>14</v>
      </c>
      <c r="D14" s="8">
        <v>10</v>
      </c>
      <c r="E14" s="13">
        <v>1</v>
      </c>
      <c r="F14" s="11">
        <f>IFERROR(('5_Informal_Sector_Hotspots'!C42/'5_Informal_Sector_Hotspots'!C41+'5_Informal_Sector_Hotspots'!C44/'5_Informal_Sector_Hotspots'!C43)/2,0)</f>
        <v>0.4065359477124183</v>
      </c>
      <c r="G14" s="11">
        <f>IFERROR(MIN(F14/E14,1),0)</f>
        <v>0.4065359477124183</v>
      </c>
      <c r="H14" s="12">
        <f>ROUND(G14*D14,1)</f>
        <v>4.0999999999999996</v>
      </c>
    </row>
    <row r="15" spans="1:9" ht="30" customHeight="1">
      <c r="B15" s="8">
        <v>6</v>
      </c>
      <c r="C15" s="9" t="s">
        <v>15</v>
      </c>
      <c r="D15" s="8">
        <v>10</v>
      </c>
      <c r="E15" s="13">
        <v>1</v>
      </c>
      <c r="F15" s="11">
        <f>IFERROR(('6_Env_Health_Monitoring'!C41/'5_Informal_Sector_Hotspots'!C41+'6_Env_Health_Monitoring'!C42/'6_Env_Health_Monitoring'!C41)/2,0)</f>
        <v>0.83823529411764708</v>
      </c>
      <c r="G15" s="11">
        <f>IFERROR(MIN(F15/E15,1),0)</f>
        <v>0.83823529411764708</v>
      </c>
      <c r="H15" s="12">
        <f>ROUND(G15*D15,1)</f>
        <v>8.4</v>
      </c>
    </row>
    <row r="16" spans="1:9" ht="30" customHeight="1">
      <c r="B16" s="8">
        <v>7</v>
      </c>
      <c r="C16" s="9" t="s">
        <v>16</v>
      </c>
      <c r="D16" s="8">
        <v>10</v>
      </c>
      <c r="E16" s="10">
        <v>1</v>
      </c>
      <c r="F16" s="8">
        <f>IFERROR('7_Awareness_Programs'!C41/34,0)</f>
        <v>1</v>
      </c>
      <c r="G16" s="11">
        <f>IFERROR(MIN(F16/E16,1),0)</f>
        <v>1</v>
      </c>
      <c r="H16" s="12">
        <f>ROUND(G16*D16,1)</f>
        <v>10</v>
      </c>
    </row>
    <row r="17" spans="2:8">
      <c r="B17" s="14"/>
      <c r="C17" s="15" t="s">
        <v>17</v>
      </c>
      <c r="D17" s="15">
        <f>SUM(D10:D16)</f>
        <v>100</v>
      </c>
      <c r="E17" s="14"/>
      <c r="F17" s="14"/>
      <c r="G17" s="14"/>
      <c r="H17" s="15">
        <f>SUM(H10:H16)</f>
        <v>77.8</v>
      </c>
    </row>
    <row r="19" spans="2:8">
      <c r="B19" s="6" t="s">
        <v>18</v>
      </c>
    </row>
    <row r="20" spans="2:8">
      <c r="B20" s="28" t="s">
        <v>19</v>
      </c>
      <c r="C20" s="28" t="s">
        <v>20</v>
      </c>
    </row>
    <row r="21" spans="2:8">
      <c r="B21" s="28" t="s">
        <v>21</v>
      </c>
      <c r="C21" s="28" t="s">
        <v>22</v>
      </c>
    </row>
    <row r="22" spans="2:8">
      <c r="B22" s="28" t="s">
        <v>23</v>
      </c>
      <c r="C22" s="28" t="s">
        <v>24</v>
      </c>
    </row>
    <row r="23" spans="2:8">
      <c r="B23" s="28" t="s">
        <v>25</v>
      </c>
      <c r="C23" s="28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workbookViewId="0"/>
  </sheetViews>
  <sheetFormatPr defaultColWidth="8.7109375" defaultRowHeight="15"/>
  <cols>
    <col min="1" max="1" width="3" customWidth="1"/>
    <col min="2" max="2" width="6" customWidth="1"/>
    <col min="3" max="3" width="26" customWidth="1"/>
    <col min="4" max="4" width="9" customWidth="1"/>
    <col min="5" max="8" width="16" customWidth="1"/>
  </cols>
  <sheetData>
    <row r="2" spans="1:8" ht="25.5" customHeight="1">
      <c r="A2" s="5" t="s">
        <v>27</v>
      </c>
      <c r="B2" s="5"/>
      <c r="C2" s="5"/>
      <c r="D2" s="5"/>
      <c r="E2" s="5"/>
      <c r="F2" s="5"/>
      <c r="G2" s="5"/>
    </row>
    <row r="4" spans="1:8" ht="30" customHeight="1">
      <c r="B4" s="1" t="s">
        <v>28</v>
      </c>
      <c r="C4" s="1"/>
      <c r="D4" s="1"/>
      <c r="E4" s="1"/>
      <c r="F4" s="1"/>
      <c r="G4" s="1"/>
      <c r="H4" s="1"/>
    </row>
    <row r="6" spans="1:8" ht="23.85">
      <c r="B6" s="7" t="s">
        <v>3</v>
      </c>
      <c r="C6" s="7" t="s">
        <v>4</v>
      </c>
      <c r="D6" s="7" t="s">
        <v>5</v>
      </c>
      <c r="E6" s="7" t="s">
        <v>29</v>
      </c>
    </row>
    <row r="7" spans="1:8" ht="30" customHeight="1">
      <c r="B7" s="8">
        <v>1</v>
      </c>
      <c r="C7" s="16" t="s">
        <v>10</v>
      </c>
      <c r="D7" s="8">
        <v>15</v>
      </c>
      <c r="E7" s="30" t="s">
        <v>30</v>
      </c>
      <c r="F7" s="30"/>
      <c r="G7" s="30"/>
      <c r="H7" s="30"/>
    </row>
    <row r="8" spans="1:8" ht="30" customHeight="1">
      <c r="B8" s="8">
        <v>2</v>
      </c>
      <c r="C8" s="16" t="s">
        <v>11</v>
      </c>
      <c r="D8" s="8">
        <v>20</v>
      </c>
      <c r="E8" s="30" t="s">
        <v>31</v>
      </c>
      <c r="F8" s="30"/>
      <c r="G8" s="30"/>
      <c r="H8" s="30"/>
    </row>
    <row r="9" spans="1:8" ht="30" customHeight="1">
      <c r="B9" s="8">
        <v>3</v>
      </c>
      <c r="C9" s="16" t="s">
        <v>12</v>
      </c>
      <c r="D9" s="8">
        <v>20</v>
      </c>
      <c r="E9" s="30" t="s">
        <v>32</v>
      </c>
      <c r="F9" s="30"/>
      <c r="G9" s="30"/>
      <c r="H9" s="30"/>
    </row>
    <row r="10" spans="1:8" ht="30" customHeight="1">
      <c r="B10" s="8">
        <v>4</v>
      </c>
      <c r="C10" s="16" t="s">
        <v>13</v>
      </c>
      <c r="D10" s="8">
        <v>15</v>
      </c>
      <c r="E10" s="30" t="s">
        <v>33</v>
      </c>
      <c r="F10" s="30"/>
      <c r="G10" s="30"/>
      <c r="H10" s="30"/>
    </row>
    <row r="11" spans="1:8" ht="30" customHeight="1">
      <c r="B11" s="8">
        <v>5</v>
      </c>
      <c r="C11" s="16" t="s">
        <v>14</v>
      </c>
      <c r="D11" s="8">
        <v>10</v>
      </c>
      <c r="E11" s="30" t="s">
        <v>34</v>
      </c>
      <c r="F11" s="30"/>
      <c r="G11" s="30"/>
      <c r="H11" s="30"/>
    </row>
    <row r="12" spans="1:8" ht="30" customHeight="1">
      <c r="B12" s="8">
        <v>6</v>
      </c>
      <c r="C12" s="16" t="s">
        <v>15</v>
      </c>
      <c r="D12" s="8">
        <v>10</v>
      </c>
      <c r="E12" s="30" t="s">
        <v>35</v>
      </c>
      <c r="F12" s="30"/>
      <c r="G12" s="30"/>
      <c r="H12" s="30"/>
    </row>
    <row r="13" spans="1:8" ht="30" customHeight="1">
      <c r="B13" s="8">
        <v>7</v>
      </c>
      <c r="C13" s="16" t="s">
        <v>16</v>
      </c>
      <c r="D13" s="8">
        <v>10</v>
      </c>
      <c r="E13" s="30" t="s">
        <v>36</v>
      </c>
      <c r="F13" s="30"/>
      <c r="G13" s="30"/>
      <c r="H13" s="30"/>
    </row>
    <row r="14" spans="1:8">
      <c r="B14" s="14"/>
      <c r="C14" s="15" t="s">
        <v>37</v>
      </c>
      <c r="D14" s="15">
        <v>100</v>
      </c>
      <c r="E14" s="14"/>
      <c r="F14" s="14"/>
      <c r="G14" s="14"/>
      <c r="H14" s="14"/>
    </row>
    <row r="16" spans="1:8">
      <c r="B16" s="6" t="s">
        <v>38</v>
      </c>
    </row>
    <row r="17" spans="2:8" ht="25.5" customHeight="1">
      <c r="B17" s="31" t="s">
        <v>39</v>
      </c>
      <c r="C17" s="31"/>
      <c r="D17" s="31"/>
      <c r="E17" s="31"/>
      <c r="F17" s="31"/>
      <c r="G17" s="31"/>
      <c r="H17" s="31"/>
    </row>
    <row r="18" spans="2:8" ht="25.5" customHeight="1">
      <c r="B18" s="31" t="s">
        <v>40</v>
      </c>
      <c r="C18" s="31" t="s">
        <v>41</v>
      </c>
      <c r="D18" s="31"/>
      <c r="E18" s="31"/>
      <c r="F18" s="31"/>
      <c r="G18" s="31"/>
      <c r="H18" s="31"/>
    </row>
    <row r="19" spans="2:8" ht="25.5" customHeight="1">
      <c r="B19" s="31" t="s">
        <v>42</v>
      </c>
      <c r="C19" s="31" t="s">
        <v>43</v>
      </c>
      <c r="D19" s="31"/>
      <c r="E19" s="31"/>
      <c r="F19" s="31"/>
      <c r="G19" s="31"/>
      <c r="H19" s="31"/>
    </row>
    <row r="20" spans="2:8" ht="25.5" customHeight="1">
      <c r="B20" s="31" t="s">
        <v>44</v>
      </c>
      <c r="C20" s="31" t="s">
        <v>45</v>
      </c>
      <c r="D20" s="31"/>
      <c r="E20" s="31"/>
      <c r="F20" s="31"/>
      <c r="G20" s="31"/>
      <c r="H20" s="31"/>
    </row>
    <row r="21" spans="2:8" ht="25.5" customHeight="1">
      <c r="B21" s="31" t="s">
        <v>46</v>
      </c>
      <c r="C21" s="31" t="s">
        <v>47</v>
      </c>
      <c r="D21" s="31"/>
      <c r="E21" s="31"/>
      <c r="F21" s="31"/>
      <c r="G21" s="31"/>
      <c r="H21" s="31"/>
    </row>
  </sheetData>
  <mergeCells count="14">
    <mergeCell ref="B18:H18"/>
    <mergeCell ref="B19:H19"/>
    <mergeCell ref="B20:H20"/>
    <mergeCell ref="B21:H21"/>
    <mergeCell ref="E10:H10"/>
    <mergeCell ref="E11:H11"/>
    <mergeCell ref="E12:H12"/>
    <mergeCell ref="E13:H13"/>
    <mergeCell ref="B17:H17"/>
    <mergeCell ref="A2:G2"/>
    <mergeCell ref="B4:H4"/>
    <mergeCell ref="E7:H7"/>
    <mergeCell ref="E8:H8"/>
    <mergeCell ref="E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46"/>
  <sheetViews>
    <sheetView showGridLines="0" workbookViewId="0"/>
  </sheetViews>
  <sheetFormatPr defaultColWidth="8.7109375" defaultRowHeight="15"/>
  <cols>
    <col min="1" max="1" width="3" customWidth="1"/>
    <col min="2" max="2" width="20" customWidth="1"/>
    <col min="3" max="3" width="14" customWidth="1"/>
    <col min="4" max="4" width="16" customWidth="1"/>
    <col min="5" max="5" width="22" customWidth="1"/>
    <col min="6" max="6" width="20" customWidth="1"/>
    <col min="7" max="7" width="16" customWidth="1"/>
    <col min="8" max="9" width="14" customWidth="1"/>
    <col min="10" max="10" width="18" customWidth="1"/>
    <col min="11" max="11" width="16" customWidth="1"/>
  </cols>
  <sheetData>
    <row r="2" spans="1:11" ht="25.5" customHeight="1">
      <c r="A2" s="5" t="s">
        <v>48</v>
      </c>
      <c r="B2" s="5"/>
      <c r="C2" s="5"/>
      <c r="D2" s="5"/>
      <c r="E2" s="5"/>
      <c r="F2" s="5"/>
      <c r="G2" s="5"/>
      <c r="H2" s="5"/>
      <c r="I2" s="5"/>
      <c r="J2" s="5"/>
    </row>
    <row r="3" spans="1:11">
      <c r="B3" s="29" t="s">
        <v>49</v>
      </c>
      <c r="C3" s="29"/>
      <c r="D3" s="29"/>
      <c r="E3" s="29"/>
      <c r="F3" s="29"/>
      <c r="G3" s="29"/>
      <c r="H3" s="29"/>
      <c r="I3" s="29"/>
      <c r="J3" s="29"/>
      <c r="K3" s="29"/>
    </row>
    <row r="5" spans="1:11" ht="24" customHeight="1">
      <c r="B5" s="7" t="s">
        <v>50</v>
      </c>
      <c r="C5" s="7" t="s">
        <v>51</v>
      </c>
      <c r="D5" s="7" t="s">
        <v>52</v>
      </c>
      <c r="E5" s="7" t="s">
        <v>53</v>
      </c>
      <c r="F5" s="7" t="s">
        <v>54</v>
      </c>
      <c r="G5" s="7" t="s">
        <v>55</v>
      </c>
      <c r="H5" s="7" t="s">
        <v>56</v>
      </c>
      <c r="I5" s="7" t="s">
        <v>57</v>
      </c>
      <c r="J5" s="7" t="s">
        <v>58</v>
      </c>
      <c r="K5" s="7" t="s">
        <v>59</v>
      </c>
    </row>
    <row r="6" spans="1:11" ht="15" customHeight="1">
      <c r="B6" s="17" t="s">
        <v>60</v>
      </c>
      <c r="C6" s="17">
        <v>7208200</v>
      </c>
      <c r="D6" s="17">
        <v>3697807</v>
      </c>
      <c r="E6" s="17">
        <v>2140835</v>
      </c>
      <c r="F6" s="17">
        <v>1556971</v>
      </c>
      <c r="G6" s="17">
        <v>583864</v>
      </c>
      <c r="H6" s="17">
        <v>973107</v>
      </c>
      <c r="I6" s="17">
        <v>778486</v>
      </c>
      <c r="J6" s="17">
        <f>SUM(D6:I6)</f>
        <v>9731070</v>
      </c>
      <c r="K6" s="22">
        <v>46203</v>
      </c>
    </row>
    <row r="7" spans="1:11" ht="15" customHeight="1">
      <c r="B7" s="18" t="s">
        <v>61</v>
      </c>
      <c r="C7" s="18">
        <v>1513614</v>
      </c>
      <c r="D7" s="18">
        <v>356608</v>
      </c>
      <c r="E7" s="18">
        <v>206457</v>
      </c>
      <c r="F7" s="18">
        <v>150151</v>
      </c>
      <c r="G7" s="18">
        <v>56306</v>
      </c>
      <c r="H7" s="18">
        <v>93844</v>
      </c>
      <c r="I7" s="18">
        <v>75075</v>
      </c>
      <c r="J7" s="19">
        <f>SUM(D7:I7)</f>
        <v>938441</v>
      </c>
      <c r="K7" s="23">
        <v>46203</v>
      </c>
    </row>
    <row r="8" spans="1:11" ht="15" customHeight="1">
      <c r="B8" s="18" t="s">
        <v>62</v>
      </c>
      <c r="C8" s="18">
        <v>2090276</v>
      </c>
      <c r="D8" s="18">
        <v>698988</v>
      </c>
      <c r="E8" s="18">
        <v>404677</v>
      </c>
      <c r="F8" s="18">
        <v>294311</v>
      </c>
      <c r="G8" s="18">
        <v>110367</v>
      </c>
      <c r="H8" s="18">
        <v>183944</v>
      </c>
      <c r="I8" s="18">
        <v>147156</v>
      </c>
      <c r="J8" s="19">
        <f>SUM(D8:I8)</f>
        <v>1839443</v>
      </c>
      <c r="K8" s="23">
        <v>46203</v>
      </c>
    </row>
    <row r="9" spans="1:11" ht="15" customHeight="1">
      <c r="B9" s="18" t="s">
        <v>63</v>
      </c>
      <c r="C9" s="18">
        <v>1051746</v>
      </c>
      <c r="D9" s="18">
        <v>219815</v>
      </c>
      <c r="E9" s="18">
        <v>127261</v>
      </c>
      <c r="F9" s="18">
        <v>92554</v>
      </c>
      <c r="G9" s="18">
        <v>34708</v>
      </c>
      <c r="H9" s="18">
        <v>57846</v>
      </c>
      <c r="I9" s="18">
        <v>46276</v>
      </c>
      <c r="J9" s="19">
        <f>SUM(D9:I9)</f>
        <v>578460</v>
      </c>
      <c r="K9" s="23">
        <v>46203</v>
      </c>
    </row>
    <row r="10" spans="1:11" ht="15" customHeight="1">
      <c r="B10" s="18" t="s">
        <v>64</v>
      </c>
      <c r="C10" s="18">
        <v>2141666</v>
      </c>
      <c r="D10" s="18">
        <v>472023</v>
      </c>
      <c r="E10" s="18">
        <v>273277</v>
      </c>
      <c r="F10" s="18">
        <v>198747</v>
      </c>
      <c r="G10" s="18">
        <v>74530</v>
      </c>
      <c r="H10" s="18">
        <v>124217</v>
      </c>
      <c r="I10" s="18">
        <v>99372</v>
      </c>
      <c r="J10" s="19">
        <f>SUM(D10:I10)</f>
        <v>1242166</v>
      </c>
      <c r="K10" s="23">
        <v>46203</v>
      </c>
    </row>
    <row r="11" spans="1:11" ht="15" customHeight="1">
      <c r="B11" s="18" t="s">
        <v>65</v>
      </c>
      <c r="C11" s="18">
        <v>1550822</v>
      </c>
      <c r="D11" s="18">
        <v>559847</v>
      </c>
      <c r="E11" s="18">
        <v>324122</v>
      </c>
      <c r="F11" s="18">
        <v>235725</v>
      </c>
      <c r="G11" s="18">
        <v>88397</v>
      </c>
      <c r="H11" s="18">
        <v>147328</v>
      </c>
      <c r="I11" s="18">
        <v>117862</v>
      </c>
      <c r="J11" s="19">
        <f>SUM(D11:I11)</f>
        <v>1473281</v>
      </c>
      <c r="K11" s="23">
        <v>46203</v>
      </c>
    </row>
    <row r="12" spans="1:11" ht="15" customHeight="1">
      <c r="B12" s="18" t="s">
        <v>66</v>
      </c>
      <c r="C12" s="18">
        <v>2877961</v>
      </c>
      <c r="D12" s="18">
        <v>896773</v>
      </c>
      <c r="E12" s="18">
        <v>519184</v>
      </c>
      <c r="F12" s="18">
        <v>377588</v>
      </c>
      <c r="G12" s="18">
        <v>141596</v>
      </c>
      <c r="H12" s="18">
        <v>235993</v>
      </c>
      <c r="I12" s="18">
        <v>188794</v>
      </c>
      <c r="J12" s="19">
        <f>SUM(D12:I12)</f>
        <v>2359928</v>
      </c>
      <c r="K12" s="23">
        <v>46203</v>
      </c>
    </row>
    <row r="13" spans="1:11" ht="15" customHeight="1">
      <c r="B13" s="18" t="s">
        <v>67</v>
      </c>
      <c r="C13" s="18">
        <v>656005</v>
      </c>
      <c r="D13" s="18">
        <v>144584</v>
      </c>
      <c r="E13" s="18">
        <v>83706</v>
      </c>
      <c r="F13" s="18">
        <v>60877</v>
      </c>
      <c r="G13" s="18">
        <v>22829</v>
      </c>
      <c r="H13" s="18">
        <v>38048</v>
      </c>
      <c r="I13" s="18">
        <v>30439</v>
      </c>
      <c r="J13" s="19">
        <f>SUM(D13:I13)</f>
        <v>380483</v>
      </c>
      <c r="K13" s="23">
        <v>46203</v>
      </c>
    </row>
    <row r="14" spans="1:11" ht="15" customHeight="1">
      <c r="B14" s="18" t="s">
        <v>68</v>
      </c>
      <c r="C14" s="18">
        <v>1071831</v>
      </c>
      <c r="D14" s="18">
        <v>187356</v>
      </c>
      <c r="E14" s="18">
        <v>108469</v>
      </c>
      <c r="F14" s="18">
        <v>78887</v>
      </c>
      <c r="G14" s="18">
        <v>29583</v>
      </c>
      <c r="H14" s="18">
        <v>49304</v>
      </c>
      <c r="I14" s="18">
        <v>39443</v>
      </c>
      <c r="J14" s="19">
        <f>SUM(D14:I14)</f>
        <v>493042</v>
      </c>
      <c r="K14" s="23">
        <v>46203</v>
      </c>
    </row>
    <row r="15" spans="1:11" ht="15" customHeight="1">
      <c r="B15" s="18" t="s">
        <v>69</v>
      </c>
      <c r="C15" s="18">
        <v>2126558</v>
      </c>
      <c r="D15" s="18">
        <v>379803</v>
      </c>
      <c r="E15" s="18">
        <v>219886</v>
      </c>
      <c r="F15" s="18">
        <v>159917</v>
      </c>
      <c r="G15" s="18">
        <v>59969</v>
      </c>
      <c r="H15" s="18">
        <v>99948</v>
      </c>
      <c r="I15" s="18">
        <v>79959</v>
      </c>
      <c r="J15" s="19">
        <f>SUM(D15:I15)</f>
        <v>999482</v>
      </c>
      <c r="K15" s="23">
        <v>46203</v>
      </c>
    </row>
    <row r="16" spans="1:11" ht="15" customHeight="1">
      <c r="B16" s="18" t="s">
        <v>70</v>
      </c>
      <c r="C16" s="18">
        <v>226769</v>
      </c>
      <c r="D16" s="18">
        <v>34469</v>
      </c>
      <c r="E16" s="18">
        <v>19956</v>
      </c>
      <c r="F16" s="18">
        <v>14513</v>
      </c>
      <c r="G16" s="18">
        <v>5442</v>
      </c>
      <c r="H16" s="18">
        <v>9071</v>
      </c>
      <c r="I16" s="18">
        <v>7257</v>
      </c>
      <c r="J16" s="19">
        <f>SUM(D16:I16)</f>
        <v>90708</v>
      </c>
      <c r="K16" s="23">
        <v>46203</v>
      </c>
    </row>
    <row r="17" spans="2:11" ht="15" customHeight="1">
      <c r="B17" s="18" t="s">
        <v>71</v>
      </c>
      <c r="C17" s="18">
        <v>752484</v>
      </c>
      <c r="D17" s="18">
        <v>180145</v>
      </c>
      <c r="E17" s="18">
        <v>104294</v>
      </c>
      <c r="F17" s="18">
        <v>75850</v>
      </c>
      <c r="G17" s="18">
        <v>28444</v>
      </c>
      <c r="H17" s="18">
        <v>47406</v>
      </c>
      <c r="I17" s="18">
        <v>37926</v>
      </c>
      <c r="J17" s="19">
        <f>SUM(D17:I17)</f>
        <v>474065</v>
      </c>
      <c r="K17" s="23">
        <v>46203</v>
      </c>
    </row>
    <row r="18" spans="2:11" ht="15" customHeight="1">
      <c r="B18" s="18" t="s">
        <v>72</v>
      </c>
      <c r="C18" s="18">
        <v>1387478</v>
      </c>
      <c r="D18" s="18">
        <v>606328</v>
      </c>
      <c r="E18" s="18">
        <v>351032</v>
      </c>
      <c r="F18" s="18">
        <v>255296</v>
      </c>
      <c r="G18" s="18">
        <v>95736</v>
      </c>
      <c r="H18" s="18">
        <v>159560</v>
      </c>
      <c r="I18" s="18">
        <v>127648</v>
      </c>
      <c r="J18" s="19">
        <f>SUM(D18:I18)</f>
        <v>1595600</v>
      </c>
      <c r="K18" s="23">
        <v>46203</v>
      </c>
    </row>
    <row r="19" spans="2:11" ht="15" customHeight="1">
      <c r="B19" s="18" t="s">
        <v>73</v>
      </c>
      <c r="C19" s="18">
        <v>1217477</v>
      </c>
      <c r="D19" s="18">
        <v>323849</v>
      </c>
      <c r="E19" s="18">
        <v>187491</v>
      </c>
      <c r="F19" s="18">
        <v>136357</v>
      </c>
      <c r="G19" s="18">
        <v>51134</v>
      </c>
      <c r="H19" s="18">
        <v>85223</v>
      </c>
      <c r="I19" s="18">
        <v>68180</v>
      </c>
      <c r="J19" s="19">
        <f>SUM(D19:I19)</f>
        <v>852234</v>
      </c>
      <c r="K19" s="23">
        <v>46203</v>
      </c>
    </row>
    <row r="20" spans="2:11" ht="15" customHeight="1">
      <c r="B20" s="18" t="s">
        <v>74</v>
      </c>
      <c r="C20" s="18">
        <v>2159130</v>
      </c>
      <c r="D20" s="18">
        <v>722013</v>
      </c>
      <c r="E20" s="18">
        <v>418007</v>
      </c>
      <c r="F20" s="18">
        <v>304005</v>
      </c>
      <c r="G20" s="18">
        <v>114002</v>
      </c>
      <c r="H20" s="18">
        <v>190003</v>
      </c>
      <c r="I20" s="18">
        <v>152004</v>
      </c>
      <c r="J20" s="19">
        <f>SUM(D20:I20)</f>
        <v>1900034</v>
      </c>
      <c r="K20" s="23">
        <v>46203</v>
      </c>
    </row>
    <row r="21" spans="2:11" ht="15" customHeight="1">
      <c r="B21" s="18" t="s">
        <v>75</v>
      </c>
      <c r="C21" s="18">
        <v>2742291</v>
      </c>
      <c r="D21" s="18">
        <v>750291</v>
      </c>
      <c r="E21" s="18">
        <v>434379</v>
      </c>
      <c r="F21" s="18">
        <v>315912</v>
      </c>
      <c r="G21" s="18">
        <v>118467</v>
      </c>
      <c r="H21" s="18">
        <v>197445</v>
      </c>
      <c r="I21" s="18">
        <v>157956</v>
      </c>
      <c r="J21" s="19">
        <f>SUM(D21:I21)</f>
        <v>1974450</v>
      </c>
      <c r="K21" s="23">
        <v>46203</v>
      </c>
    </row>
    <row r="22" spans="2:11" ht="15" customHeight="1">
      <c r="B22" s="18" t="s">
        <v>76</v>
      </c>
      <c r="C22" s="18">
        <v>2298934</v>
      </c>
      <c r="D22" s="18">
        <v>681404</v>
      </c>
      <c r="E22" s="18">
        <v>394497</v>
      </c>
      <c r="F22" s="18">
        <v>286907</v>
      </c>
      <c r="G22" s="18">
        <v>107590</v>
      </c>
      <c r="H22" s="18">
        <v>179317</v>
      </c>
      <c r="I22" s="18">
        <v>143454</v>
      </c>
      <c r="J22" s="19">
        <f>SUM(D22:I22)</f>
        <v>1793169</v>
      </c>
      <c r="K22" s="23">
        <v>46203</v>
      </c>
    </row>
    <row r="23" spans="2:11" ht="15" customHeight="1">
      <c r="B23" s="18" t="s">
        <v>77</v>
      </c>
      <c r="C23" s="18">
        <v>2090313</v>
      </c>
      <c r="D23" s="18">
        <v>651342</v>
      </c>
      <c r="E23" s="18">
        <v>377093</v>
      </c>
      <c r="F23" s="18">
        <v>274249</v>
      </c>
      <c r="G23" s="18">
        <v>102843</v>
      </c>
      <c r="H23" s="18">
        <v>171406</v>
      </c>
      <c r="I23" s="18">
        <v>137124</v>
      </c>
      <c r="J23" s="19">
        <f>SUM(D23:I23)</f>
        <v>1714057</v>
      </c>
      <c r="K23" s="23">
        <v>46203</v>
      </c>
    </row>
    <row r="24" spans="2:11" ht="15" customHeight="1">
      <c r="B24" s="18" t="s">
        <v>78</v>
      </c>
      <c r="C24" s="18">
        <v>994624</v>
      </c>
      <c r="D24" s="18">
        <v>188979</v>
      </c>
      <c r="E24" s="18">
        <v>109409</v>
      </c>
      <c r="F24" s="18">
        <v>79570</v>
      </c>
      <c r="G24" s="18">
        <v>29839</v>
      </c>
      <c r="H24" s="18">
        <v>49731</v>
      </c>
      <c r="I24" s="18">
        <v>39784</v>
      </c>
      <c r="J24" s="19">
        <f>SUM(D24:I24)</f>
        <v>497312</v>
      </c>
      <c r="K24" s="23">
        <v>46203</v>
      </c>
    </row>
    <row r="25" spans="2:11" ht="15" customHeight="1">
      <c r="B25" s="18" t="s">
        <v>79</v>
      </c>
      <c r="C25" s="18">
        <v>2027727</v>
      </c>
      <c r="D25" s="18">
        <v>708893</v>
      </c>
      <c r="E25" s="18">
        <v>410412</v>
      </c>
      <c r="F25" s="18">
        <v>298481</v>
      </c>
      <c r="G25" s="18">
        <v>111931</v>
      </c>
      <c r="H25" s="18">
        <v>186551</v>
      </c>
      <c r="I25" s="18">
        <v>149241</v>
      </c>
      <c r="J25" s="19">
        <f>SUM(D25:I25)</f>
        <v>1865509</v>
      </c>
      <c r="K25" s="23">
        <v>46203</v>
      </c>
    </row>
    <row r="26" spans="2:11" ht="15" customHeight="1">
      <c r="B26" s="24" t="s">
        <v>80</v>
      </c>
      <c r="C26" s="24">
        <v>960329</v>
      </c>
      <c r="D26" s="24">
        <v>383171</v>
      </c>
      <c r="E26" s="24">
        <v>221836</v>
      </c>
      <c r="F26" s="24">
        <v>161335</v>
      </c>
      <c r="G26" s="24">
        <v>60501</v>
      </c>
      <c r="H26" s="24">
        <v>100834</v>
      </c>
      <c r="I26" s="24">
        <v>80668</v>
      </c>
      <c r="J26" s="24">
        <f>SUM(D26:I26)</f>
        <v>1008345</v>
      </c>
      <c r="K26" s="25">
        <v>46203</v>
      </c>
    </row>
    <row r="27" spans="2:11" ht="15" customHeight="1">
      <c r="B27" s="26" t="s">
        <v>81</v>
      </c>
      <c r="C27" s="26">
        <v>590379</v>
      </c>
      <c r="D27" s="26">
        <v>112172</v>
      </c>
      <c r="E27" s="26">
        <v>64942</v>
      </c>
      <c r="F27" s="26">
        <v>47230</v>
      </c>
      <c r="G27" s="26">
        <v>17711</v>
      </c>
      <c r="H27" s="26">
        <v>29519</v>
      </c>
      <c r="I27" s="26">
        <v>23616</v>
      </c>
      <c r="J27" s="26">
        <f>SUM(D27:I27)</f>
        <v>295190</v>
      </c>
      <c r="K27" s="25">
        <v>46203</v>
      </c>
    </row>
    <row r="28" spans="2:11" ht="15" customHeight="1">
      <c r="B28" s="24" t="s">
        <v>82</v>
      </c>
      <c r="C28" s="24">
        <v>1330711</v>
      </c>
      <c r="D28" s="24">
        <v>465217</v>
      </c>
      <c r="E28" s="24">
        <v>269336</v>
      </c>
      <c r="F28" s="24">
        <v>195881</v>
      </c>
      <c r="G28" s="24">
        <v>73455</v>
      </c>
      <c r="H28" s="24">
        <v>122425</v>
      </c>
      <c r="I28" s="24">
        <v>97940</v>
      </c>
      <c r="J28" s="24">
        <f>SUM(D28:I28)</f>
        <v>1224254</v>
      </c>
      <c r="K28" s="25">
        <v>46203</v>
      </c>
    </row>
    <row r="29" spans="2:11" ht="15" customHeight="1">
      <c r="B29" s="24" t="s">
        <v>83</v>
      </c>
      <c r="C29" s="24">
        <v>2388267</v>
      </c>
      <c r="D29" s="24">
        <v>517299</v>
      </c>
      <c r="E29" s="24">
        <v>299489</v>
      </c>
      <c r="F29" s="24">
        <v>217810</v>
      </c>
      <c r="G29" s="24">
        <v>81679</v>
      </c>
      <c r="H29" s="24">
        <v>136131</v>
      </c>
      <c r="I29" s="24">
        <v>108904</v>
      </c>
      <c r="J29" s="24">
        <f>SUM(D29:I29)</f>
        <v>1361312</v>
      </c>
      <c r="K29" s="25">
        <v>46203</v>
      </c>
    </row>
    <row r="30" spans="2:11" ht="15" customHeight="1">
      <c r="B30" s="24" t="s">
        <v>84</v>
      </c>
      <c r="C30" s="24">
        <v>1342746</v>
      </c>
      <c r="D30" s="24">
        <v>316351</v>
      </c>
      <c r="E30" s="24">
        <v>183151</v>
      </c>
      <c r="F30" s="24">
        <v>133200</v>
      </c>
      <c r="G30" s="24">
        <v>49950</v>
      </c>
      <c r="H30" s="24">
        <v>83250</v>
      </c>
      <c r="I30" s="24">
        <v>66601</v>
      </c>
      <c r="J30" s="24">
        <f>SUM(D30:I30)</f>
        <v>832503</v>
      </c>
      <c r="K30" s="25">
        <v>46203</v>
      </c>
    </row>
    <row r="31" spans="2:11" ht="15" customHeight="1">
      <c r="B31" s="24" t="s">
        <v>85</v>
      </c>
      <c r="C31" s="24">
        <v>586062</v>
      </c>
      <c r="D31" s="24">
        <v>173709</v>
      </c>
      <c r="E31" s="24">
        <v>100568</v>
      </c>
      <c r="F31" s="24">
        <v>73140</v>
      </c>
      <c r="G31" s="24">
        <v>27428</v>
      </c>
      <c r="H31" s="24">
        <v>45713</v>
      </c>
      <c r="I31" s="24">
        <v>36570</v>
      </c>
      <c r="J31" s="24">
        <f>SUM(D31:I31)</f>
        <v>457128</v>
      </c>
      <c r="K31" s="25">
        <v>46203</v>
      </c>
    </row>
    <row r="32" spans="2:11" ht="15" customHeight="1">
      <c r="B32" s="24" t="s">
        <v>86</v>
      </c>
      <c r="C32" s="24">
        <v>3157676</v>
      </c>
      <c r="D32" s="24">
        <v>1319909</v>
      </c>
      <c r="E32" s="24">
        <v>764158</v>
      </c>
      <c r="F32" s="24">
        <v>555751</v>
      </c>
      <c r="G32" s="24">
        <v>208407</v>
      </c>
      <c r="H32" s="24">
        <v>347344</v>
      </c>
      <c r="I32" s="24">
        <v>277875</v>
      </c>
      <c r="J32" s="24">
        <f>SUM(D32:I32)</f>
        <v>3473444</v>
      </c>
      <c r="K32" s="25">
        <v>46203</v>
      </c>
    </row>
    <row r="33" spans="2:11" ht="15" customHeight="1">
      <c r="B33" s="24" t="s">
        <v>87</v>
      </c>
      <c r="C33" s="24">
        <v>2458589</v>
      </c>
      <c r="D33" s="24">
        <v>607272</v>
      </c>
      <c r="E33" s="24">
        <v>351578</v>
      </c>
      <c r="F33" s="24">
        <v>255693</v>
      </c>
      <c r="G33" s="24">
        <v>95885</v>
      </c>
      <c r="H33" s="24">
        <v>159808</v>
      </c>
      <c r="I33" s="24">
        <v>127847</v>
      </c>
      <c r="J33" s="24">
        <f>SUM(D33:I33)</f>
        <v>1598083</v>
      </c>
      <c r="K33" s="25">
        <v>46203</v>
      </c>
    </row>
    <row r="34" spans="2:11" ht="15" customHeight="1">
      <c r="B34" s="24" t="s">
        <v>88</v>
      </c>
      <c r="C34" s="24">
        <v>6081322</v>
      </c>
      <c r="D34" s="24">
        <v>2957955</v>
      </c>
      <c r="E34" s="24">
        <v>1712500</v>
      </c>
      <c r="F34" s="24">
        <v>1245455</v>
      </c>
      <c r="G34" s="24">
        <v>467046</v>
      </c>
      <c r="H34" s="24">
        <v>778409</v>
      </c>
      <c r="I34" s="24">
        <v>622727</v>
      </c>
      <c r="J34" s="24">
        <f>SUM(D34:I34)</f>
        <v>7784092</v>
      </c>
      <c r="K34" s="25">
        <v>46203</v>
      </c>
    </row>
    <row r="35" spans="2:11" ht="15" customHeight="1">
      <c r="B35" s="24" t="s">
        <v>89</v>
      </c>
      <c r="C35" s="24">
        <v>1755873</v>
      </c>
      <c r="D35" s="24">
        <v>467062</v>
      </c>
      <c r="E35" s="24">
        <v>270404</v>
      </c>
      <c r="F35" s="24">
        <v>196658</v>
      </c>
      <c r="G35" s="24">
        <v>73747</v>
      </c>
      <c r="H35" s="24">
        <v>122911</v>
      </c>
      <c r="I35" s="24">
        <v>98329</v>
      </c>
      <c r="J35" s="24">
        <f>SUM(D35:I35)</f>
        <v>1229111</v>
      </c>
      <c r="K35" s="25">
        <v>46203</v>
      </c>
    </row>
    <row r="36" spans="2:11" ht="15" customHeight="1">
      <c r="B36" s="24" t="s">
        <v>90</v>
      </c>
      <c r="C36" s="24">
        <v>806489</v>
      </c>
      <c r="D36" s="24">
        <v>147104</v>
      </c>
      <c r="E36" s="24">
        <v>85165</v>
      </c>
      <c r="F36" s="24">
        <v>61938</v>
      </c>
      <c r="G36" s="24">
        <v>23227</v>
      </c>
      <c r="H36" s="24">
        <v>38712</v>
      </c>
      <c r="I36" s="24">
        <v>30969</v>
      </c>
      <c r="J36" s="24">
        <f>SUM(D36:I36)</f>
        <v>387115</v>
      </c>
      <c r="K36" s="25">
        <v>46203</v>
      </c>
    </row>
    <row r="37" spans="2:11" ht="15" customHeight="1">
      <c r="B37" s="24" t="s">
        <v>91</v>
      </c>
      <c r="C37" s="24">
        <v>3639775</v>
      </c>
      <c r="D37" s="24">
        <v>1549088</v>
      </c>
      <c r="E37" s="24">
        <v>896841</v>
      </c>
      <c r="F37" s="24">
        <v>652248</v>
      </c>
      <c r="G37" s="24">
        <v>244593</v>
      </c>
      <c r="H37" s="24">
        <v>407655</v>
      </c>
      <c r="I37" s="24">
        <v>326123</v>
      </c>
      <c r="J37" s="24">
        <f>SUM(D37:I37)</f>
        <v>4076548</v>
      </c>
      <c r="K37" s="25">
        <v>46203</v>
      </c>
    </row>
    <row r="38" spans="2:11" ht="15" customHeight="1">
      <c r="B38" s="24" t="s">
        <v>92</v>
      </c>
      <c r="C38" s="24">
        <v>1703068</v>
      </c>
      <c r="D38" s="24">
        <v>601864</v>
      </c>
      <c r="E38" s="24">
        <v>348448</v>
      </c>
      <c r="F38" s="24">
        <v>253416</v>
      </c>
      <c r="G38" s="24">
        <v>95031</v>
      </c>
      <c r="H38" s="24">
        <v>158385</v>
      </c>
      <c r="I38" s="24">
        <v>126709</v>
      </c>
      <c r="J38" s="24">
        <f>SUM(D38:I38)</f>
        <v>1583853</v>
      </c>
      <c r="K38" s="25">
        <v>46203</v>
      </c>
    </row>
    <row r="39" spans="2:11" ht="15" customHeight="1">
      <c r="B39" s="24" t="s">
        <v>93</v>
      </c>
      <c r="C39" s="24">
        <v>978840</v>
      </c>
      <c r="D39" s="24">
        <v>193419</v>
      </c>
      <c r="E39" s="24">
        <v>111979</v>
      </c>
      <c r="F39" s="24">
        <v>81440</v>
      </c>
      <c r="G39" s="24">
        <v>30540</v>
      </c>
      <c r="H39" s="24">
        <v>50900</v>
      </c>
      <c r="I39" s="24">
        <v>40719</v>
      </c>
      <c r="J39" s="24">
        <f>SUM(D39:I39)</f>
        <v>508997</v>
      </c>
      <c r="K39" s="25">
        <v>46203</v>
      </c>
    </row>
    <row r="40" spans="2:11" ht="15" customHeight="1">
      <c r="B40" s="24" t="s">
        <v>94</v>
      </c>
      <c r="C40" s="24">
        <f>SUM(C6:C39)</f>
        <v>65966032</v>
      </c>
      <c r="D40" s="24">
        <f>SUM(D6:D39)</f>
        <v>22272909</v>
      </c>
      <c r="E40" s="24">
        <f>SUM(E6:E39)</f>
        <v>12894839</v>
      </c>
      <c r="F40" s="24">
        <f>SUM(F6:F39)</f>
        <v>9378063</v>
      </c>
      <c r="G40" s="24">
        <f>SUM(G6:G39)</f>
        <v>3516777</v>
      </c>
      <c r="H40" s="24">
        <f>SUM(H6:H39)</f>
        <v>5861288</v>
      </c>
      <c r="I40" s="24">
        <f>SUM(I6:I39)</f>
        <v>4689033</v>
      </c>
      <c r="J40" s="24">
        <f>SUM(J6:J39)</f>
        <v>58612909</v>
      </c>
      <c r="K40" s="24"/>
    </row>
    <row r="41" spans="2:11" ht="105.6" customHeight="1">
      <c r="B41" s="24" t="s">
        <v>95</v>
      </c>
      <c r="C41" s="24"/>
      <c r="D41" s="24"/>
      <c r="E41" s="24"/>
      <c r="F41" s="24"/>
      <c r="G41" s="24"/>
      <c r="H41" s="24"/>
      <c r="I41" s="24"/>
      <c r="J41" s="24"/>
      <c r="K41" s="24"/>
    </row>
    <row r="42" spans="2:11" ht="15" customHeight="1"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2:11" ht="15" customHeight="1"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2:11" ht="15" customHeight="1"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2:11" ht="15" customHeight="1"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2:11" ht="15" customHeight="1">
      <c r="B46" s="24"/>
      <c r="C46" s="24"/>
      <c r="D46" s="24"/>
      <c r="E46" s="24"/>
      <c r="F46" s="24"/>
      <c r="G46" s="24"/>
      <c r="H46" s="24"/>
      <c r="I46" s="24"/>
      <c r="J46" s="24"/>
      <c r="K46" s="24"/>
    </row>
  </sheetData>
  <mergeCells count="2">
    <mergeCell ref="A2:J2"/>
    <mergeCell ref="B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46"/>
  <sheetViews>
    <sheetView showGridLines="0" workbookViewId="0"/>
  </sheetViews>
  <sheetFormatPr defaultColWidth="8.7109375" defaultRowHeight="15"/>
  <cols>
    <col min="1" max="1" width="3" customWidth="1"/>
    <col min="2" max="3" width="20" customWidth="1"/>
    <col min="4" max="4" width="16" customWidth="1"/>
    <col min="5" max="5" width="18" customWidth="1"/>
    <col min="6" max="7" width="20" customWidth="1"/>
    <col min="8" max="8" width="36" customWidth="1"/>
  </cols>
  <sheetData>
    <row r="2" spans="1:11" ht="25.5" customHeight="1">
      <c r="A2" s="5" t="s">
        <v>96</v>
      </c>
      <c r="B2" s="5"/>
      <c r="C2" s="5"/>
      <c r="D2" s="5"/>
      <c r="E2" s="5"/>
      <c r="F2" s="5"/>
      <c r="G2" s="5"/>
    </row>
    <row r="3" spans="1:11">
      <c r="B3" s="29" t="s">
        <v>97</v>
      </c>
      <c r="C3" s="29"/>
      <c r="D3" s="29"/>
      <c r="E3" s="29"/>
      <c r="F3" s="29"/>
      <c r="G3" s="29"/>
      <c r="H3" s="29"/>
    </row>
    <row r="5" spans="1:11" ht="24" customHeight="1">
      <c r="B5" s="7" t="s">
        <v>50</v>
      </c>
      <c r="C5" s="7" t="s">
        <v>98</v>
      </c>
      <c r="D5" s="7" t="s">
        <v>99</v>
      </c>
      <c r="E5" s="7" t="s">
        <v>100</v>
      </c>
      <c r="F5" s="7" t="s">
        <v>101</v>
      </c>
      <c r="G5" s="7" t="s">
        <v>102</v>
      </c>
      <c r="H5" s="7" t="s">
        <v>103</v>
      </c>
      <c r="I5" s="24"/>
      <c r="J5" s="24"/>
      <c r="K5" s="24"/>
    </row>
    <row r="6" spans="1:11" ht="36" customHeight="1">
      <c r="B6" s="17" t="s">
        <v>60</v>
      </c>
      <c r="C6" s="17">
        <f>IFERROR(INDEX('1_Generation_Inventory'!$J$6:$J$39,MATCH(B6,'1_Generation_Inventory'!$B$6:$B$39,0)),0)</f>
        <v>9731070</v>
      </c>
      <c r="D6" s="17">
        <v>6952850</v>
      </c>
      <c r="E6" s="17">
        <v>23</v>
      </c>
      <c r="F6" s="17">
        <v>6325196</v>
      </c>
      <c r="G6" s="17">
        <v>5692676</v>
      </c>
      <c r="H6" s="17" t="s">
        <v>104</v>
      </c>
      <c r="I6" s="24"/>
      <c r="J6" s="24"/>
      <c r="K6" s="24"/>
    </row>
    <row r="7" spans="1:11" ht="36" customHeight="1">
      <c r="B7" s="18" t="s">
        <v>61</v>
      </c>
      <c r="C7" s="19">
        <f>IFERROR(INDEX('1_Generation_Inventory'!$J$6:$J$39,MATCH(B7,'1_Generation_Inventory'!$B$6:$B$39,0)),0)</f>
        <v>938441</v>
      </c>
      <c r="D7" s="18">
        <v>499626</v>
      </c>
      <c r="E7" s="18">
        <v>4</v>
      </c>
      <c r="F7" s="18">
        <v>609987</v>
      </c>
      <c r="G7" s="18">
        <v>499626</v>
      </c>
      <c r="H7" s="18" t="s">
        <v>104</v>
      </c>
      <c r="I7" s="24"/>
      <c r="J7" s="24"/>
      <c r="K7" s="24"/>
    </row>
    <row r="8" spans="1:11" ht="36" customHeight="1">
      <c r="B8" s="18" t="s">
        <v>62</v>
      </c>
      <c r="C8" s="19">
        <f>IFERROR(INDEX('1_Generation_Inventory'!$J$6:$J$39,MATCH(B8,'1_Generation_Inventory'!$B$6:$B$39,0)),0)</f>
        <v>1839443</v>
      </c>
      <c r="D8" s="18">
        <v>1136040</v>
      </c>
      <c r="E8" s="18">
        <v>6</v>
      </c>
      <c r="F8" s="18">
        <v>1195638</v>
      </c>
      <c r="G8" s="18">
        <v>1136040</v>
      </c>
      <c r="H8" s="18" t="s">
        <v>104</v>
      </c>
      <c r="I8" s="24"/>
      <c r="J8" s="24"/>
      <c r="K8" s="24"/>
    </row>
    <row r="9" spans="1:11" ht="36" customHeight="1">
      <c r="B9" s="18" t="s">
        <v>63</v>
      </c>
      <c r="C9" s="19">
        <f>IFERROR(INDEX('1_Generation_Inventory'!$J$6:$J$39,MATCH(B9,'1_Generation_Inventory'!$B$6:$B$39,0)),0)</f>
        <v>578460</v>
      </c>
      <c r="D9" s="18">
        <v>314393</v>
      </c>
      <c r="E9" s="18">
        <v>3</v>
      </c>
      <c r="F9" s="18">
        <v>375999</v>
      </c>
      <c r="G9" s="18">
        <v>314393</v>
      </c>
      <c r="H9" s="18" t="s">
        <v>104</v>
      </c>
      <c r="I9" s="24"/>
      <c r="J9" s="24"/>
      <c r="K9" s="24"/>
    </row>
    <row r="10" spans="1:11" ht="36" customHeight="1">
      <c r="B10" s="18" t="s">
        <v>64</v>
      </c>
      <c r="C10" s="19">
        <f>IFERROR(INDEX('1_Generation_Inventory'!$J$6:$J$39,MATCH(B10,'1_Generation_Inventory'!$B$6:$B$39,0)),0)</f>
        <v>1242166</v>
      </c>
      <c r="D10" s="18">
        <v>703811</v>
      </c>
      <c r="E10" s="18">
        <v>6</v>
      </c>
      <c r="F10" s="18">
        <v>807408</v>
      </c>
      <c r="G10" s="18">
        <v>703811</v>
      </c>
      <c r="H10" s="18" t="s">
        <v>104</v>
      </c>
      <c r="I10" s="24"/>
      <c r="J10" s="24"/>
      <c r="K10" s="24"/>
    </row>
    <row r="11" spans="1:11" ht="36" customHeight="1">
      <c r="B11" s="18" t="s">
        <v>65</v>
      </c>
      <c r="C11" s="19">
        <f>IFERROR(INDEX('1_Generation_Inventory'!$J$6:$J$39,MATCH(B11,'1_Generation_Inventory'!$B$6:$B$39,0)),0)</f>
        <v>1473281</v>
      </c>
      <c r="D11" s="18">
        <v>893545</v>
      </c>
      <c r="E11" s="18">
        <v>5</v>
      </c>
      <c r="F11" s="18">
        <v>957633</v>
      </c>
      <c r="G11" s="18">
        <v>893545</v>
      </c>
      <c r="H11" s="18" t="s">
        <v>104</v>
      </c>
      <c r="I11" s="24"/>
      <c r="J11" s="24"/>
      <c r="K11" s="24"/>
    </row>
    <row r="12" spans="1:11" ht="36" customHeight="1">
      <c r="B12" s="18" t="s">
        <v>66</v>
      </c>
      <c r="C12" s="19">
        <f>IFERROR(INDEX('1_Generation_Inventory'!$J$6:$J$39,MATCH(B12,'1_Generation_Inventory'!$B$6:$B$39,0)),0)</f>
        <v>2359928</v>
      </c>
      <c r="D12" s="18">
        <v>1383862</v>
      </c>
      <c r="E12" s="18">
        <v>8</v>
      </c>
      <c r="F12" s="18">
        <v>1533953</v>
      </c>
      <c r="G12" s="18">
        <v>1383862</v>
      </c>
      <c r="H12" s="18" t="s">
        <v>104</v>
      </c>
      <c r="I12" s="24"/>
      <c r="J12" s="24"/>
      <c r="K12" s="24"/>
    </row>
    <row r="13" spans="1:11" ht="36" customHeight="1">
      <c r="B13" s="18" t="s">
        <v>67</v>
      </c>
      <c r="C13" s="19">
        <f>IFERROR(INDEX('1_Generation_Inventory'!$J$6:$J$39,MATCH(B13,'1_Generation_Inventory'!$B$6:$B$39,0)),0)</f>
        <v>380483</v>
      </c>
      <c r="D13" s="18">
        <v>204167</v>
      </c>
      <c r="E13" s="18">
        <v>2</v>
      </c>
      <c r="F13" s="18">
        <v>247314</v>
      </c>
      <c r="G13" s="18">
        <v>204167</v>
      </c>
      <c r="H13" s="18" t="s">
        <v>104</v>
      </c>
      <c r="I13" s="24"/>
      <c r="J13" s="24"/>
      <c r="K13" s="24"/>
    </row>
    <row r="14" spans="1:11" ht="36" customHeight="1">
      <c r="B14" s="18" t="s">
        <v>68</v>
      </c>
      <c r="C14" s="19">
        <f>IFERROR(INDEX('1_Generation_Inventory'!$J$6:$J$39,MATCH(B14,'1_Generation_Inventory'!$B$6:$B$39,0)),0)</f>
        <v>493042</v>
      </c>
      <c r="D14" s="18">
        <v>255987</v>
      </c>
      <c r="E14" s="18">
        <v>3</v>
      </c>
      <c r="F14" s="18">
        <v>320477</v>
      </c>
      <c r="G14" s="18">
        <v>255987</v>
      </c>
      <c r="H14" s="18" t="s">
        <v>104</v>
      </c>
      <c r="I14" s="24"/>
      <c r="J14" s="24"/>
      <c r="K14" s="24"/>
    </row>
    <row r="15" spans="1:11" ht="36" customHeight="1">
      <c r="B15" s="18" t="s">
        <v>69</v>
      </c>
      <c r="C15" s="19">
        <f>IFERROR(INDEX('1_Generation_Inventory'!$J$6:$J$39,MATCH(B15,'1_Generation_Inventory'!$B$6:$B$39,0)),0)</f>
        <v>999482</v>
      </c>
      <c r="D15" s="18">
        <v>536622</v>
      </c>
      <c r="E15" s="18">
        <v>6</v>
      </c>
      <c r="F15" s="18">
        <v>649663</v>
      </c>
      <c r="G15" s="18">
        <v>536622</v>
      </c>
      <c r="H15" s="18" t="s">
        <v>104</v>
      </c>
      <c r="I15" s="24"/>
      <c r="J15" s="24"/>
      <c r="K15" s="24"/>
    </row>
    <row r="16" spans="1:11" ht="36" customHeight="1">
      <c r="B16" s="18" t="s">
        <v>70</v>
      </c>
      <c r="C16" s="19">
        <f>IFERROR(INDEX('1_Generation_Inventory'!$J$6:$J$39,MATCH(B16,'1_Generation_Inventory'!$B$6:$B$39,0)),0)</f>
        <v>90708</v>
      </c>
      <c r="D16" s="18">
        <v>41544</v>
      </c>
      <c r="E16" s="18">
        <v>1</v>
      </c>
      <c r="F16" s="18">
        <v>58960</v>
      </c>
      <c r="G16" s="18">
        <v>41544</v>
      </c>
      <c r="H16" s="18" t="s">
        <v>104</v>
      </c>
      <c r="I16" s="24"/>
      <c r="J16" s="24"/>
      <c r="K16" s="24"/>
    </row>
    <row r="17" spans="2:11" ht="36" customHeight="1">
      <c r="B17" s="18" t="s">
        <v>71</v>
      </c>
      <c r="C17" s="19">
        <f>IFERROR(INDEX('1_Generation_Inventory'!$J$6:$J$39,MATCH(B17,'1_Generation_Inventory'!$B$6:$B$39,0)),0)</f>
        <v>474065</v>
      </c>
      <c r="D17" s="18">
        <v>253672</v>
      </c>
      <c r="E17" s="18">
        <v>2</v>
      </c>
      <c r="F17" s="18">
        <v>308142</v>
      </c>
      <c r="G17" s="18">
        <v>253672</v>
      </c>
      <c r="H17" s="18" t="s">
        <v>104</v>
      </c>
      <c r="I17" s="24"/>
      <c r="J17" s="24"/>
      <c r="K17" s="24"/>
    </row>
    <row r="18" spans="2:11" ht="36" customHeight="1">
      <c r="B18" s="18" t="s">
        <v>72</v>
      </c>
      <c r="C18" s="19">
        <f>IFERROR(INDEX('1_Generation_Inventory'!$J$6:$J$39,MATCH(B18,'1_Generation_Inventory'!$B$6:$B$39,0)),0)</f>
        <v>1595600</v>
      </c>
      <c r="D18" s="18">
        <v>1101762</v>
      </c>
      <c r="E18" s="18">
        <v>4</v>
      </c>
      <c r="F18" s="18">
        <v>1037140</v>
      </c>
      <c r="G18" s="18">
        <v>933426</v>
      </c>
      <c r="H18" s="18" t="s">
        <v>104</v>
      </c>
      <c r="I18" s="24"/>
      <c r="J18" s="24"/>
      <c r="K18" s="24"/>
    </row>
    <row r="19" spans="2:11" ht="36" customHeight="1">
      <c r="B19" s="18" t="s">
        <v>73</v>
      </c>
      <c r="C19" s="19">
        <f>IFERROR(INDEX('1_Generation_Inventory'!$J$6:$J$39,MATCH(B19,'1_Generation_Inventory'!$B$6:$B$39,0)),0)</f>
        <v>852234</v>
      </c>
      <c r="D19" s="18">
        <v>497705</v>
      </c>
      <c r="E19" s="18">
        <v>3</v>
      </c>
      <c r="F19" s="18">
        <v>553952</v>
      </c>
      <c r="G19" s="18">
        <v>497705</v>
      </c>
      <c r="H19" s="18" t="s">
        <v>104</v>
      </c>
      <c r="I19" s="24"/>
      <c r="J19" s="24"/>
      <c r="K19" s="24"/>
    </row>
    <row r="20" spans="2:11" ht="36" customHeight="1">
      <c r="B20" s="18" t="s">
        <v>74</v>
      </c>
      <c r="C20" s="19">
        <f>IFERROR(INDEX('1_Generation_Inventory'!$J$6:$J$39,MATCH(B20,'1_Generation_Inventory'!$B$6:$B$39,0)),0)</f>
        <v>1900034</v>
      </c>
      <c r="D20" s="18">
        <v>1230462</v>
      </c>
      <c r="E20" s="18">
        <v>6</v>
      </c>
      <c r="F20" s="18">
        <v>1235022</v>
      </c>
      <c r="G20" s="18">
        <v>1230462</v>
      </c>
      <c r="H20" s="18" t="s">
        <v>104</v>
      </c>
      <c r="I20" s="24"/>
      <c r="J20" s="24"/>
      <c r="K20" s="24"/>
    </row>
    <row r="21" spans="2:11" ht="36" customHeight="1">
      <c r="B21" s="18" t="s">
        <v>75</v>
      </c>
      <c r="C21" s="19">
        <f>IFERROR(INDEX('1_Generation_Inventory'!$J$6:$J$39,MATCH(B21,'1_Generation_Inventory'!$B$6:$B$39,0)),0)</f>
        <v>1974450</v>
      </c>
      <c r="D21" s="18">
        <v>1074891</v>
      </c>
      <c r="E21" s="18">
        <v>8</v>
      </c>
      <c r="F21" s="18">
        <v>1283392</v>
      </c>
      <c r="G21" s="18">
        <v>1074891</v>
      </c>
      <c r="H21" s="18" t="s">
        <v>104</v>
      </c>
      <c r="I21" s="24"/>
      <c r="J21" s="24"/>
      <c r="K21" s="24"/>
    </row>
    <row r="22" spans="2:11" ht="36" customHeight="1">
      <c r="B22" s="18" t="s">
        <v>76</v>
      </c>
      <c r="C22" s="19">
        <f>IFERROR(INDEX('1_Generation_Inventory'!$J$6:$J$39,MATCH(B22,'1_Generation_Inventory'!$B$6:$B$39,0)),0)</f>
        <v>1793169</v>
      </c>
      <c r="D22" s="18">
        <v>1032148</v>
      </c>
      <c r="E22" s="18">
        <v>7</v>
      </c>
      <c r="F22" s="18">
        <v>1165560</v>
      </c>
      <c r="G22" s="18">
        <v>1032148</v>
      </c>
      <c r="H22" s="18" t="s">
        <v>104</v>
      </c>
      <c r="I22" s="24"/>
      <c r="J22" s="24"/>
      <c r="K22" s="24"/>
    </row>
    <row r="23" spans="2:11" ht="36" customHeight="1">
      <c r="B23" s="18" t="s">
        <v>77</v>
      </c>
      <c r="C23" s="19">
        <f>IFERROR(INDEX('1_Generation_Inventory'!$J$6:$J$39,MATCH(B23,'1_Generation_Inventory'!$B$6:$B$39,0)),0)</f>
        <v>1714057</v>
      </c>
      <c r="D23" s="18">
        <v>1030834</v>
      </c>
      <c r="E23" s="18">
        <v>6</v>
      </c>
      <c r="F23" s="18">
        <v>1114137</v>
      </c>
      <c r="G23" s="18">
        <v>1030834</v>
      </c>
      <c r="H23" s="18" t="s">
        <v>104</v>
      </c>
      <c r="I23" s="24"/>
      <c r="J23" s="24"/>
      <c r="K23" s="24"/>
    </row>
    <row r="24" spans="2:11" ht="36" customHeight="1">
      <c r="B24" s="18" t="s">
        <v>78</v>
      </c>
      <c r="C24" s="19">
        <f>IFERROR(INDEX('1_Generation_Inventory'!$J$6:$J$39,MATCH(B24,'1_Generation_Inventory'!$B$6:$B$39,0)),0)</f>
        <v>497312</v>
      </c>
      <c r="D24" s="18">
        <v>263575</v>
      </c>
      <c r="E24" s="18">
        <v>3</v>
      </c>
      <c r="F24" s="18">
        <v>323253</v>
      </c>
      <c r="G24" s="18">
        <v>263575</v>
      </c>
      <c r="H24" s="18" t="s">
        <v>104</v>
      </c>
      <c r="I24" s="24"/>
      <c r="J24" s="24"/>
      <c r="K24" s="24"/>
    </row>
    <row r="25" spans="2:11" ht="36" customHeight="1">
      <c r="B25" s="18" t="s">
        <v>79</v>
      </c>
      <c r="C25" s="19">
        <f>IFERROR(INDEX('1_Generation_Inventory'!$J$6:$J$39,MATCH(B25,'1_Generation_Inventory'!$B$6:$B$39,0)),0)</f>
        <v>1865509</v>
      </c>
      <c r="D25" s="18">
        <v>1228251</v>
      </c>
      <c r="E25" s="18">
        <v>6</v>
      </c>
      <c r="F25" s="18">
        <v>1212581</v>
      </c>
      <c r="G25" s="18">
        <v>1228251</v>
      </c>
      <c r="H25" s="18" t="s">
        <v>104</v>
      </c>
      <c r="I25" s="24"/>
      <c r="J25" s="24"/>
      <c r="K25" s="24"/>
    </row>
    <row r="26" spans="2:11" ht="39.6" customHeight="1">
      <c r="B26" s="24" t="s">
        <v>80</v>
      </c>
      <c r="C26" s="24">
        <f>IFERROR(INDEX('1_Generation_Inventory'!$J$6:$J$39,MATCH(B26,'1_Generation_Inventory'!$B$6:$B$39,0)),0)</f>
        <v>1008345</v>
      </c>
      <c r="D26" s="24">
        <v>638787</v>
      </c>
      <c r="E26" s="24">
        <v>3</v>
      </c>
      <c r="F26" s="24">
        <v>655424</v>
      </c>
      <c r="G26" s="24">
        <v>589882</v>
      </c>
      <c r="H26" s="24" t="s">
        <v>104</v>
      </c>
      <c r="I26" s="24"/>
      <c r="J26" s="24"/>
      <c r="K26" s="24"/>
    </row>
    <row r="27" spans="2:11" ht="39.6" customHeight="1">
      <c r="B27" s="26" t="s">
        <v>81</v>
      </c>
      <c r="C27" s="26">
        <f>IFERROR(INDEX('1_Generation_Inventory'!$J$6:$J$39,MATCH(B27,'1_Generation_Inventory'!$B$6:$B$39,0)),0)</f>
        <v>295190</v>
      </c>
      <c r="D27" s="26">
        <v>147595</v>
      </c>
      <c r="E27" s="26">
        <v>2</v>
      </c>
      <c r="F27" s="26">
        <v>191874</v>
      </c>
      <c r="G27" s="26">
        <v>147595</v>
      </c>
      <c r="H27" s="24" t="s">
        <v>104</v>
      </c>
      <c r="I27" s="24"/>
      <c r="J27" s="24"/>
      <c r="K27" s="24"/>
    </row>
    <row r="28" spans="2:11" ht="39.6" customHeight="1">
      <c r="B28" s="24" t="s">
        <v>82</v>
      </c>
      <c r="C28" s="24">
        <f>IFERROR(INDEX('1_Generation_Inventory'!$J$6:$J$39,MATCH(B28,'1_Generation_Inventory'!$B$6:$B$39,0)),0)</f>
        <v>1224254</v>
      </c>
      <c r="D28" s="24">
        <v>769321</v>
      </c>
      <c r="E28" s="24">
        <v>4</v>
      </c>
      <c r="F28" s="24">
        <v>795765</v>
      </c>
      <c r="G28" s="24">
        <v>769321</v>
      </c>
      <c r="H28" s="24" t="s">
        <v>104</v>
      </c>
      <c r="I28" s="24"/>
      <c r="J28" s="24"/>
      <c r="K28" s="24"/>
    </row>
    <row r="29" spans="2:11" ht="39.6" customHeight="1">
      <c r="B29" s="24" t="s">
        <v>83</v>
      </c>
      <c r="C29" s="24">
        <f>IFERROR(INDEX('1_Generation_Inventory'!$J$6:$J$39,MATCH(B29,'1_Generation_Inventory'!$B$6:$B$39,0)),0)</f>
        <v>1361312</v>
      </c>
      <c r="D29" s="24">
        <v>747224</v>
      </c>
      <c r="E29" s="24">
        <v>6</v>
      </c>
      <c r="F29" s="24">
        <v>884853</v>
      </c>
      <c r="G29" s="24">
        <v>747224</v>
      </c>
      <c r="H29" s="24" t="s">
        <v>104</v>
      </c>
      <c r="I29" s="24"/>
      <c r="J29" s="24"/>
      <c r="K29" s="24"/>
    </row>
    <row r="30" spans="2:11" ht="39.6" customHeight="1">
      <c r="B30" s="24" t="s">
        <v>84</v>
      </c>
      <c r="C30" s="24">
        <f>IFERROR(INDEX('1_Generation_Inventory'!$J$6:$J$39,MATCH(B30,'1_Generation_Inventory'!$B$6:$B$39,0)),0)</f>
        <v>832503</v>
      </c>
      <c r="D30" s="24">
        <v>480687</v>
      </c>
      <c r="E30" s="24">
        <v>4</v>
      </c>
      <c r="F30" s="24">
        <v>541127</v>
      </c>
      <c r="G30" s="24">
        <v>480687</v>
      </c>
      <c r="H30" s="24" t="s">
        <v>104</v>
      </c>
      <c r="I30" s="24"/>
      <c r="J30" s="24"/>
      <c r="K30" s="24"/>
    </row>
    <row r="31" spans="2:11" ht="39.6" customHeight="1">
      <c r="B31" s="24" t="s">
        <v>85</v>
      </c>
      <c r="C31" s="24">
        <f>IFERROR(INDEX('1_Generation_Inventory'!$J$6:$J$39,MATCH(B31,'1_Generation_Inventory'!$B$6:$B$39,0)),0)</f>
        <v>457128</v>
      </c>
      <c r="D31" s="24">
        <v>256266</v>
      </c>
      <c r="E31" s="24">
        <v>2</v>
      </c>
      <c r="F31" s="24">
        <v>297133</v>
      </c>
      <c r="G31" s="24">
        <v>256266</v>
      </c>
      <c r="H31" s="24" t="s">
        <v>104</v>
      </c>
      <c r="I31" s="24"/>
      <c r="J31" s="24"/>
      <c r="K31" s="24"/>
    </row>
    <row r="32" spans="2:11" ht="39.6" customHeight="1">
      <c r="B32" s="24" t="s">
        <v>86</v>
      </c>
      <c r="C32" s="24">
        <f>IFERROR(INDEX('1_Generation_Inventory'!$J$6:$J$39,MATCH(B32,'1_Generation_Inventory'!$B$6:$B$39,0)),0)</f>
        <v>3473444</v>
      </c>
      <c r="D32" s="24">
        <v>2299420</v>
      </c>
      <c r="E32" s="24">
        <v>10</v>
      </c>
      <c r="F32" s="24">
        <v>2257739</v>
      </c>
      <c r="G32" s="24">
        <v>2257739</v>
      </c>
      <c r="H32" s="24" t="s">
        <v>104</v>
      </c>
      <c r="I32" s="24"/>
      <c r="J32" s="24"/>
      <c r="K32" s="24"/>
    </row>
    <row r="33" spans="2:11" ht="39.6" customHeight="1">
      <c r="B33" s="24" t="s">
        <v>87</v>
      </c>
      <c r="C33" s="24">
        <f>IFERROR(INDEX('1_Generation_Inventory'!$J$6:$J$39,MATCH(B33,'1_Generation_Inventory'!$B$6:$B$39,0)),0)</f>
        <v>1598083</v>
      </c>
      <c r="D33" s="24">
        <v>887735</v>
      </c>
      <c r="E33" s="24">
        <v>7</v>
      </c>
      <c r="F33" s="24">
        <v>1038754</v>
      </c>
      <c r="G33" s="24">
        <v>887735</v>
      </c>
      <c r="H33" s="24" t="s">
        <v>104</v>
      </c>
      <c r="I33" s="24"/>
      <c r="J33" s="24"/>
      <c r="K33" s="24"/>
    </row>
    <row r="34" spans="2:11" ht="39.6" customHeight="1">
      <c r="B34" s="24" t="s">
        <v>88</v>
      </c>
      <c r="C34" s="24">
        <f>IFERROR(INDEX('1_Generation_Inventory'!$J$6:$J$39,MATCH(B34,'1_Generation_Inventory'!$B$6:$B$39,0)),0)</f>
        <v>7784092</v>
      </c>
      <c r="D34" s="24">
        <v>5764899</v>
      </c>
      <c r="E34" s="24">
        <v>19</v>
      </c>
      <c r="F34" s="24">
        <v>5059660</v>
      </c>
      <c r="G34" s="24">
        <v>4553694</v>
      </c>
      <c r="H34" s="24" t="s">
        <v>104</v>
      </c>
      <c r="I34" s="24"/>
      <c r="J34" s="24"/>
      <c r="K34" s="24"/>
    </row>
    <row r="35" spans="2:11" ht="39.6" customHeight="1">
      <c r="B35" s="24" t="s">
        <v>89</v>
      </c>
      <c r="C35" s="24">
        <f>IFERROR(INDEX('1_Generation_Inventory'!$J$6:$J$39,MATCH(B35,'1_Generation_Inventory'!$B$6:$B$39,0)),0)</f>
        <v>1229111</v>
      </c>
      <c r="D35" s="24">
        <v>736237</v>
      </c>
      <c r="E35" s="24">
        <v>5</v>
      </c>
      <c r="F35" s="24">
        <v>798922</v>
      </c>
      <c r="G35" s="24">
        <v>736237</v>
      </c>
      <c r="H35" s="24" t="s">
        <v>104</v>
      </c>
      <c r="I35" s="24"/>
      <c r="J35" s="24"/>
      <c r="K35" s="24"/>
    </row>
    <row r="36" spans="2:11" ht="39.6" customHeight="1">
      <c r="B36" s="24" t="s">
        <v>90</v>
      </c>
      <c r="C36" s="24">
        <f>IFERROR(INDEX('1_Generation_Inventory'!$J$6:$J$39,MATCH(B36,'1_Generation_Inventory'!$B$6:$B$39,0)),0)</f>
        <v>387115</v>
      </c>
      <c r="D36" s="24">
        <v>185660</v>
      </c>
      <c r="E36" s="24">
        <v>2</v>
      </c>
      <c r="F36" s="24">
        <v>251625</v>
      </c>
      <c r="G36" s="24">
        <v>185660</v>
      </c>
      <c r="H36" s="24" t="s">
        <v>104</v>
      </c>
      <c r="I36" s="24"/>
      <c r="J36" s="24"/>
      <c r="K36" s="24"/>
    </row>
    <row r="37" spans="2:11" ht="39.6" customHeight="1">
      <c r="B37" s="24" t="s">
        <v>91</v>
      </c>
      <c r="C37" s="24">
        <f>IFERROR(INDEX('1_Generation_Inventory'!$J$6:$J$39,MATCH(B37,'1_Generation_Inventory'!$B$6:$B$39,0)),0)</f>
        <v>4076548</v>
      </c>
      <c r="D37" s="24">
        <v>2720688</v>
      </c>
      <c r="E37" s="24">
        <v>11</v>
      </c>
      <c r="F37" s="24">
        <v>2649756</v>
      </c>
      <c r="G37" s="24">
        <v>2720688</v>
      </c>
      <c r="H37" s="24" t="s">
        <v>104</v>
      </c>
      <c r="I37" s="24"/>
      <c r="J37" s="24"/>
      <c r="K37" s="24"/>
    </row>
    <row r="38" spans="2:11" ht="39.6" customHeight="1">
      <c r="B38" s="24" t="s">
        <v>92</v>
      </c>
      <c r="C38" s="24">
        <f>IFERROR(INDEX('1_Generation_Inventory'!$J$6:$J$39,MATCH(B38,'1_Generation_Inventory'!$B$6:$B$39,0)),0)</f>
        <v>1583853</v>
      </c>
      <c r="D38" s="24">
        <v>999570</v>
      </c>
      <c r="E38" s="24">
        <v>5</v>
      </c>
      <c r="F38" s="24">
        <v>1029504</v>
      </c>
      <c r="G38" s="24">
        <v>926554</v>
      </c>
      <c r="H38" s="24" t="s">
        <v>104</v>
      </c>
      <c r="I38" s="24"/>
      <c r="J38" s="24"/>
      <c r="K38" s="24"/>
    </row>
    <row r="39" spans="2:11" ht="39.6" customHeight="1">
      <c r="B39" s="24" t="s">
        <v>93</v>
      </c>
      <c r="C39" s="24">
        <f>IFERROR(INDEX('1_Generation_Inventory'!$J$6:$J$39,MATCH(B39,'1_Generation_Inventory'!$B$6:$B$39,0)),0)</f>
        <v>508997</v>
      </c>
      <c r="D39" s="24">
        <v>272517</v>
      </c>
      <c r="E39" s="24">
        <v>3</v>
      </c>
      <c r="F39" s="24">
        <v>330848</v>
      </c>
      <c r="G39" s="24">
        <v>272517</v>
      </c>
      <c r="H39" s="24" t="s">
        <v>104</v>
      </c>
      <c r="I39" s="24"/>
      <c r="J39" s="24"/>
      <c r="K39" s="24"/>
    </row>
    <row r="40" spans="2:11" ht="15" customHeight="1">
      <c r="B40" s="24" t="s">
        <v>94</v>
      </c>
      <c r="C40" s="24">
        <f>SUM(C6:C39)</f>
        <v>58612909</v>
      </c>
      <c r="D40" s="24">
        <f>SUM(D6:D39)</f>
        <v>37542353</v>
      </c>
      <c r="E40" s="24">
        <f>SUM(E6:E39)</f>
        <v>195</v>
      </c>
      <c r="F40" s="24">
        <f>SUM(F6:F39)</f>
        <v>38098391</v>
      </c>
      <c r="G40" s="24">
        <f>SUM(G6:G39)</f>
        <v>34739036</v>
      </c>
      <c r="H40" s="24"/>
      <c r="I40" s="24"/>
      <c r="J40" s="24"/>
      <c r="K40" s="24"/>
    </row>
    <row r="41" spans="2:11" ht="15" customHeight="1"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2:11" ht="15" customHeight="1"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2:11" ht="15" customHeight="1"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2:11" ht="15" customHeight="1"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2:11" ht="15" customHeight="1"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2:11" ht="15" customHeight="1">
      <c r="B46" s="24"/>
      <c r="C46" s="24"/>
      <c r="D46" s="24"/>
      <c r="E46" s="24"/>
      <c r="F46" s="24"/>
      <c r="G46" s="24"/>
      <c r="H46" s="24"/>
      <c r="I46" s="24"/>
      <c r="J46" s="24"/>
      <c r="K46" s="24"/>
    </row>
  </sheetData>
  <mergeCells count="2">
    <mergeCell ref="A2:G2"/>
    <mergeCell ref="B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46"/>
  <sheetViews>
    <sheetView showGridLines="0" workbookViewId="0"/>
  </sheetViews>
  <sheetFormatPr defaultColWidth="8.7109375" defaultRowHeight="15"/>
  <cols>
    <col min="1" max="1" width="3" customWidth="1"/>
    <col min="2" max="2" width="36" customWidth="1"/>
    <col min="3" max="3" width="22" customWidth="1"/>
    <col min="4" max="5" width="18" customWidth="1"/>
    <col min="6" max="6" width="22" customWidth="1"/>
    <col min="7" max="8" width="18" customWidth="1"/>
  </cols>
  <sheetData>
    <row r="2" spans="1:11" ht="25.5" customHeight="1">
      <c r="A2" s="5" t="s">
        <v>105</v>
      </c>
      <c r="B2" s="5"/>
      <c r="C2" s="5"/>
      <c r="D2" s="5"/>
      <c r="E2" s="5"/>
      <c r="F2" s="5"/>
      <c r="G2" s="5"/>
    </row>
    <row r="3" spans="1:11">
      <c r="B3" s="29" t="s">
        <v>106</v>
      </c>
      <c r="C3" s="29"/>
      <c r="D3" s="29"/>
      <c r="E3" s="29"/>
      <c r="F3" s="29"/>
      <c r="G3" s="29"/>
      <c r="H3" s="29"/>
    </row>
    <row r="5" spans="1:11" ht="24" customHeight="1">
      <c r="B5" s="7" t="s">
        <v>107</v>
      </c>
      <c r="C5" s="7" t="s">
        <v>108</v>
      </c>
      <c r="D5" s="7" t="s">
        <v>50</v>
      </c>
      <c r="E5" s="7" t="s">
        <v>109</v>
      </c>
      <c r="F5" s="7" t="s">
        <v>110</v>
      </c>
      <c r="G5" s="7" t="s">
        <v>111</v>
      </c>
      <c r="H5" s="7" t="s">
        <v>112</v>
      </c>
      <c r="I5" s="24"/>
      <c r="J5" s="24"/>
      <c r="K5" s="24"/>
    </row>
    <row r="6" spans="1:11" ht="24" customHeight="1">
      <c r="B6" s="17" t="s">
        <v>113</v>
      </c>
      <c r="C6" s="17" t="s">
        <v>114</v>
      </c>
      <c r="D6" s="17" t="s">
        <v>60</v>
      </c>
      <c r="E6" s="17">
        <v>10220</v>
      </c>
      <c r="F6" s="17">
        <v>6388</v>
      </c>
      <c r="G6" s="20">
        <v>0.72</v>
      </c>
      <c r="H6" s="22">
        <v>47208</v>
      </c>
      <c r="I6" s="24"/>
      <c r="J6" s="24"/>
      <c r="K6" s="24"/>
    </row>
    <row r="7" spans="1:11" ht="24" customHeight="1">
      <c r="B7" s="18" t="s">
        <v>115</v>
      </c>
      <c r="C7" s="18" t="s">
        <v>116</v>
      </c>
      <c r="D7" s="18" t="s">
        <v>61</v>
      </c>
      <c r="E7" s="18">
        <v>990</v>
      </c>
      <c r="F7" s="18">
        <v>663</v>
      </c>
      <c r="G7" s="21">
        <v>0.75</v>
      </c>
      <c r="H7" s="23">
        <v>47756</v>
      </c>
      <c r="I7" s="24"/>
      <c r="J7" s="24"/>
      <c r="K7" s="24"/>
    </row>
    <row r="8" spans="1:11" ht="24" customHeight="1">
      <c r="B8" s="18" t="s">
        <v>117</v>
      </c>
      <c r="C8" s="18" t="s">
        <v>118</v>
      </c>
      <c r="D8" s="18" t="s">
        <v>62</v>
      </c>
      <c r="E8" s="18">
        <v>1930</v>
      </c>
      <c r="F8" s="18">
        <v>1380</v>
      </c>
      <c r="G8" s="21">
        <v>0.77</v>
      </c>
      <c r="H8" s="23">
        <v>46843</v>
      </c>
      <c r="I8" s="24"/>
      <c r="J8" s="24"/>
      <c r="K8" s="24"/>
    </row>
    <row r="9" spans="1:11" ht="24" customHeight="1">
      <c r="B9" s="18" t="s">
        <v>119</v>
      </c>
      <c r="C9" s="18" t="s">
        <v>120</v>
      </c>
      <c r="D9" s="18" t="s">
        <v>63</v>
      </c>
      <c r="E9" s="18">
        <v>610</v>
      </c>
      <c r="F9" s="18">
        <v>464</v>
      </c>
      <c r="G9" s="21">
        <v>0.8</v>
      </c>
      <c r="H9" s="23">
        <v>47391</v>
      </c>
      <c r="I9" s="24"/>
      <c r="J9" s="24"/>
      <c r="K9" s="24"/>
    </row>
    <row r="10" spans="1:11" ht="24" customHeight="1">
      <c r="B10" s="18" t="s">
        <v>121</v>
      </c>
      <c r="C10" s="18" t="s">
        <v>122</v>
      </c>
      <c r="D10" s="18" t="s">
        <v>64</v>
      </c>
      <c r="E10" s="18">
        <v>1300</v>
      </c>
      <c r="F10" s="18">
        <v>1046</v>
      </c>
      <c r="G10" s="21">
        <v>0.82</v>
      </c>
      <c r="H10" s="23">
        <v>47573</v>
      </c>
      <c r="I10" s="24"/>
      <c r="J10" s="24"/>
      <c r="K10" s="24"/>
    </row>
    <row r="11" spans="1:11" ht="24" customHeight="1">
      <c r="B11" s="18" t="s">
        <v>123</v>
      </c>
      <c r="C11" s="18" t="s">
        <v>124</v>
      </c>
      <c r="D11" s="18" t="s">
        <v>65</v>
      </c>
      <c r="E11" s="18">
        <v>1550</v>
      </c>
      <c r="F11" s="18">
        <v>1318</v>
      </c>
      <c r="G11" s="21">
        <v>0.85</v>
      </c>
      <c r="H11" s="23">
        <v>47026</v>
      </c>
      <c r="I11" s="24"/>
      <c r="J11" s="24"/>
      <c r="K11" s="24"/>
    </row>
    <row r="12" spans="1:11" ht="24" customHeight="1">
      <c r="B12" s="18" t="s">
        <v>125</v>
      </c>
      <c r="C12" s="18" t="s">
        <v>126</v>
      </c>
      <c r="D12" s="18" t="s">
        <v>66</v>
      </c>
      <c r="E12" s="18">
        <v>2480</v>
      </c>
      <c r="F12" s="18">
        <v>1438</v>
      </c>
      <c r="G12" s="21">
        <v>0.88</v>
      </c>
      <c r="H12" s="23">
        <v>47208</v>
      </c>
      <c r="I12" s="24"/>
      <c r="J12" s="24"/>
      <c r="K12" s="24"/>
    </row>
    <row r="13" spans="1:11" ht="24" customHeight="1">
      <c r="B13" s="18" t="s">
        <v>127</v>
      </c>
      <c r="C13" s="18" t="s">
        <v>128</v>
      </c>
      <c r="D13" s="18" t="s">
        <v>67</v>
      </c>
      <c r="E13" s="18">
        <v>400</v>
      </c>
      <c r="F13" s="18">
        <v>250</v>
      </c>
      <c r="G13" s="21">
        <v>0.7</v>
      </c>
      <c r="H13" s="23">
        <v>47756</v>
      </c>
      <c r="I13" s="24"/>
      <c r="J13" s="24"/>
      <c r="K13" s="24"/>
    </row>
    <row r="14" spans="1:11" ht="24" customHeight="1">
      <c r="B14" s="18" t="s">
        <v>129</v>
      </c>
      <c r="C14" s="18" t="s">
        <v>130</v>
      </c>
      <c r="D14" s="18" t="s">
        <v>68</v>
      </c>
      <c r="E14" s="18">
        <v>520</v>
      </c>
      <c r="F14" s="18">
        <v>348</v>
      </c>
      <c r="G14" s="21">
        <v>0.72</v>
      </c>
      <c r="H14" s="23">
        <v>46843</v>
      </c>
      <c r="I14" s="24"/>
      <c r="J14" s="24"/>
      <c r="K14" s="24"/>
    </row>
    <row r="15" spans="1:11" ht="24" customHeight="1">
      <c r="B15" s="18" t="s">
        <v>131</v>
      </c>
      <c r="C15" s="18" t="s">
        <v>132</v>
      </c>
      <c r="D15" s="18" t="s">
        <v>69</v>
      </c>
      <c r="E15" s="18">
        <v>1050</v>
      </c>
      <c r="F15" s="18">
        <v>751</v>
      </c>
      <c r="G15" s="21">
        <v>0.75</v>
      </c>
      <c r="H15" s="23">
        <v>47391</v>
      </c>
      <c r="I15" s="24"/>
      <c r="J15" s="24"/>
      <c r="K15" s="24"/>
    </row>
    <row r="16" spans="1:11" ht="24" customHeight="1">
      <c r="B16" s="18" t="s">
        <v>133</v>
      </c>
      <c r="C16" s="18" t="s">
        <v>134</v>
      </c>
      <c r="D16" s="18" t="s">
        <v>70</v>
      </c>
      <c r="E16" s="18">
        <v>120</v>
      </c>
      <c r="F16" s="18">
        <v>91</v>
      </c>
      <c r="G16" s="21">
        <v>0.77</v>
      </c>
      <c r="H16" s="23">
        <v>47573</v>
      </c>
      <c r="I16" s="24"/>
      <c r="J16" s="24"/>
      <c r="K16" s="24"/>
    </row>
    <row r="17" spans="2:11" ht="24" customHeight="1">
      <c r="B17" s="18" t="s">
        <v>135</v>
      </c>
      <c r="C17" s="18" t="s">
        <v>136</v>
      </c>
      <c r="D17" s="18" t="s">
        <v>71</v>
      </c>
      <c r="E17" s="18">
        <v>500</v>
      </c>
      <c r="F17" s="18">
        <v>402</v>
      </c>
      <c r="G17" s="21">
        <v>0.8</v>
      </c>
      <c r="H17" s="23">
        <v>47026</v>
      </c>
      <c r="I17" s="24"/>
      <c r="J17" s="24"/>
      <c r="K17" s="24"/>
    </row>
    <row r="18" spans="2:11" ht="24" customHeight="1">
      <c r="B18" s="18" t="s">
        <v>137</v>
      </c>
      <c r="C18" s="18" t="s">
        <v>138</v>
      </c>
      <c r="D18" s="18" t="s">
        <v>72</v>
      </c>
      <c r="E18" s="18">
        <v>1680</v>
      </c>
      <c r="F18" s="18">
        <v>1428</v>
      </c>
      <c r="G18" s="21">
        <v>0.82</v>
      </c>
      <c r="H18" s="23">
        <v>47208</v>
      </c>
      <c r="I18" s="24"/>
      <c r="J18" s="24"/>
      <c r="K18" s="24"/>
    </row>
    <row r="19" spans="2:11" ht="24" customHeight="1">
      <c r="B19" s="18" t="s">
        <v>139</v>
      </c>
      <c r="C19" s="18" t="s">
        <v>140</v>
      </c>
      <c r="D19" s="18" t="s">
        <v>73</v>
      </c>
      <c r="E19" s="18">
        <v>890</v>
      </c>
      <c r="F19" s="18">
        <v>516</v>
      </c>
      <c r="G19" s="21">
        <v>0.85</v>
      </c>
      <c r="H19" s="23">
        <v>47756</v>
      </c>
      <c r="I19" s="24"/>
      <c r="J19" s="24"/>
      <c r="K19" s="24"/>
    </row>
    <row r="20" spans="2:11" ht="24" customHeight="1">
      <c r="B20" s="18" t="s">
        <v>141</v>
      </c>
      <c r="C20" s="18" t="s">
        <v>142</v>
      </c>
      <c r="D20" s="18" t="s">
        <v>74</v>
      </c>
      <c r="E20" s="18">
        <v>2000</v>
      </c>
      <c r="F20" s="18">
        <v>1250</v>
      </c>
      <c r="G20" s="21">
        <v>0.88</v>
      </c>
      <c r="H20" s="23">
        <v>46843</v>
      </c>
      <c r="I20" s="24"/>
      <c r="J20" s="24"/>
      <c r="K20" s="24"/>
    </row>
    <row r="21" spans="2:11" ht="24" customHeight="1">
      <c r="B21" s="18" t="s">
        <v>143</v>
      </c>
      <c r="C21" s="18" t="s">
        <v>144</v>
      </c>
      <c r="D21" s="18" t="s">
        <v>75</v>
      </c>
      <c r="E21" s="18">
        <v>2070</v>
      </c>
      <c r="F21" s="18">
        <v>1387</v>
      </c>
      <c r="G21" s="21">
        <v>0.7</v>
      </c>
      <c r="H21" s="23">
        <v>47391</v>
      </c>
      <c r="I21" s="24"/>
      <c r="J21" s="24"/>
      <c r="K21" s="24"/>
    </row>
    <row r="22" spans="2:11" ht="24" customHeight="1">
      <c r="B22" s="18" t="s">
        <v>145</v>
      </c>
      <c r="C22" s="18" t="s">
        <v>146</v>
      </c>
      <c r="D22" s="18" t="s">
        <v>76</v>
      </c>
      <c r="E22" s="18">
        <v>1880</v>
      </c>
      <c r="F22" s="18">
        <v>1344</v>
      </c>
      <c r="G22" s="21">
        <v>0.72</v>
      </c>
      <c r="H22" s="23">
        <v>47573</v>
      </c>
      <c r="I22" s="24"/>
      <c r="J22" s="24"/>
      <c r="K22" s="24"/>
    </row>
    <row r="23" spans="2:11" ht="24" customHeight="1">
      <c r="B23" s="18" t="s">
        <v>147</v>
      </c>
      <c r="C23" s="18" t="s">
        <v>148</v>
      </c>
      <c r="D23" s="18" t="s">
        <v>77</v>
      </c>
      <c r="E23" s="18">
        <v>1800</v>
      </c>
      <c r="F23" s="18">
        <v>1368</v>
      </c>
      <c r="G23" s="21">
        <v>0.75</v>
      </c>
      <c r="H23" s="23">
        <v>47026</v>
      </c>
      <c r="I23" s="24"/>
      <c r="J23" s="24"/>
      <c r="K23" s="24"/>
    </row>
    <row r="24" spans="2:11" ht="24" customHeight="1">
      <c r="B24" s="18" t="s">
        <v>149</v>
      </c>
      <c r="C24" s="18" t="s">
        <v>150</v>
      </c>
      <c r="D24" s="18" t="s">
        <v>78</v>
      </c>
      <c r="E24" s="18">
        <v>520</v>
      </c>
      <c r="F24" s="18">
        <v>419</v>
      </c>
      <c r="G24" s="21">
        <v>0.77</v>
      </c>
      <c r="H24" s="23">
        <v>47208</v>
      </c>
      <c r="I24" s="24"/>
      <c r="J24" s="24"/>
      <c r="K24" s="24"/>
    </row>
    <row r="25" spans="2:11" ht="24" customHeight="1">
      <c r="B25" s="18" t="s">
        <v>151</v>
      </c>
      <c r="C25" s="18" t="s">
        <v>152</v>
      </c>
      <c r="D25" s="18" t="s">
        <v>79</v>
      </c>
      <c r="E25" s="18">
        <v>1960</v>
      </c>
      <c r="F25" s="18">
        <v>1666</v>
      </c>
      <c r="G25" s="21">
        <v>0.8</v>
      </c>
      <c r="H25" s="23">
        <v>47756</v>
      </c>
      <c r="I25" s="24"/>
      <c r="J25" s="24"/>
      <c r="K25" s="24"/>
    </row>
    <row r="26" spans="2:11" ht="24" customHeight="1">
      <c r="B26" s="18" t="s">
        <v>153</v>
      </c>
      <c r="C26" s="18" t="s">
        <v>154</v>
      </c>
      <c r="D26" s="18" t="s">
        <v>80</v>
      </c>
      <c r="E26" s="18">
        <v>1060</v>
      </c>
      <c r="F26" s="18">
        <v>615</v>
      </c>
      <c r="G26" s="21">
        <v>0.82</v>
      </c>
      <c r="H26" s="23">
        <v>46843</v>
      </c>
      <c r="I26" s="24"/>
      <c r="J26" s="24"/>
      <c r="K26" s="24"/>
    </row>
    <row r="27" spans="2:11" ht="26.45" customHeight="1">
      <c r="B27" s="24" t="s">
        <v>155</v>
      </c>
      <c r="C27" s="24" t="s">
        <v>156</v>
      </c>
      <c r="D27" s="24" t="s">
        <v>81</v>
      </c>
      <c r="E27" s="24">
        <v>310</v>
      </c>
      <c r="F27" s="24">
        <v>194</v>
      </c>
      <c r="G27" s="24">
        <v>0.85</v>
      </c>
      <c r="H27" s="25">
        <v>47391</v>
      </c>
      <c r="I27" s="24"/>
      <c r="J27" s="24"/>
      <c r="K27" s="24"/>
    </row>
    <row r="28" spans="2:11" ht="24" customHeight="1">
      <c r="B28" s="26" t="s">
        <v>157</v>
      </c>
      <c r="C28" s="24" t="s">
        <v>158</v>
      </c>
      <c r="D28" s="26" t="s">
        <v>82</v>
      </c>
      <c r="E28" s="26">
        <v>1290</v>
      </c>
      <c r="F28" s="27">
        <v>864</v>
      </c>
      <c r="G28" s="24">
        <v>0.88</v>
      </c>
      <c r="H28" s="25">
        <v>47573</v>
      </c>
      <c r="I28" s="24"/>
      <c r="J28" s="24"/>
      <c r="K28" s="24"/>
    </row>
    <row r="29" spans="2:11" ht="26.45" customHeight="1">
      <c r="B29" s="24" t="s">
        <v>159</v>
      </c>
      <c r="C29" s="24" t="s">
        <v>160</v>
      </c>
      <c r="D29" s="24" t="s">
        <v>83</v>
      </c>
      <c r="E29" s="24">
        <v>1430</v>
      </c>
      <c r="F29" s="24">
        <v>1022</v>
      </c>
      <c r="G29" s="24">
        <v>0.7</v>
      </c>
      <c r="H29" s="25">
        <v>47026</v>
      </c>
      <c r="I29" s="24"/>
      <c r="J29" s="24"/>
      <c r="K29" s="24"/>
    </row>
    <row r="30" spans="2:11" ht="26.45" customHeight="1">
      <c r="B30" s="24" t="s">
        <v>161</v>
      </c>
      <c r="C30" s="24" t="s">
        <v>162</v>
      </c>
      <c r="D30" s="24" t="s">
        <v>84</v>
      </c>
      <c r="E30" s="24">
        <v>870</v>
      </c>
      <c r="F30" s="24">
        <v>661</v>
      </c>
      <c r="G30" s="24">
        <v>0.72</v>
      </c>
      <c r="H30" s="25">
        <v>47208</v>
      </c>
      <c r="I30" s="24"/>
      <c r="J30" s="24"/>
      <c r="K30" s="24"/>
    </row>
    <row r="31" spans="2:11" ht="26.45" customHeight="1">
      <c r="B31" s="24" t="s">
        <v>163</v>
      </c>
      <c r="C31" s="24" t="s">
        <v>164</v>
      </c>
      <c r="D31" s="24" t="s">
        <v>85</v>
      </c>
      <c r="E31" s="24">
        <v>480</v>
      </c>
      <c r="F31" s="24">
        <v>386</v>
      </c>
      <c r="G31" s="24">
        <v>0.75</v>
      </c>
      <c r="H31" s="25">
        <v>47756</v>
      </c>
      <c r="I31" s="24"/>
      <c r="J31" s="24"/>
      <c r="K31" s="24"/>
    </row>
    <row r="32" spans="2:11" ht="26.45" customHeight="1">
      <c r="B32" s="24" t="s">
        <v>165</v>
      </c>
      <c r="C32" s="24" t="s">
        <v>166</v>
      </c>
      <c r="D32" s="24" t="s">
        <v>86</v>
      </c>
      <c r="E32" s="24">
        <v>3650</v>
      </c>
      <c r="F32" s="24">
        <v>3102</v>
      </c>
      <c r="G32" s="24">
        <v>0.77</v>
      </c>
      <c r="H32" s="25">
        <v>46843</v>
      </c>
      <c r="I32" s="24"/>
      <c r="J32" s="24"/>
      <c r="K32" s="24"/>
    </row>
    <row r="33" spans="2:11" ht="26.45" customHeight="1">
      <c r="B33" s="24" t="s">
        <v>167</v>
      </c>
      <c r="C33" s="24" t="s">
        <v>168</v>
      </c>
      <c r="D33" s="24" t="s">
        <v>87</v>
      </c>
      <c r="E33" s="24">
        <v>1680</v>
      </c>
      <c r="F33" s="24">
        <v>974</v>
      </c>
      <c r="G33" s="24">
        <v>0.8</v>
      </c>
      <c r="H33" s="25">
        <v>47391</v>
      </c>
      <c r="I33" s="24"/>
      <c r="J33" s="24"/>
      <c r="K33" s="24"/>
    </row>
    <row r="34" spans="2:11" ht="26.45" customHeight="1">
      <c r="B34" s="24" t="s">
        <v>169</v>
      </c>
      <c r="C34" s="24" t="s">
        <v>170</v>
      </c>
      <c r="D34" s="24" t="s">
        <v>88</v>
      </c>
      <c r="E34" s="24">
        <v>8170</v>
      </c>
      <c r="F34" s="24">
        <v>5106</v>
      </c>
      <c r="G34" s="24">
        <v>0.82</v>
      </c>
      <c r="H34" s="25">
        <v>47573</v>
      </c>
      <c r="I34" s="24"/>
      <c r="J34" s="24"/>
      <c r="K34" s="24"/>
    </row>
    <row r="35" spans="2:11" ht="26.45" customHeight="1">
      <c r="B35" s="24" t="s">
        <v>171</v>
      </c>
      <c r="C35" s="24" t="s">
        <v>172</v>
      </c>
      <c r="D35" s="24" t="s">
        <v>89</v>
      </c>
      <c r="E35" s="24">
        <v>1290</v>
      </c>
      <c r="F35" s="24">
        <v>864</v>
      </c>
      <c r="G35" s="24">
        <v>0.85</v>
      </c>
      <c r="H35" s="25">
        <v>47026</v>
      </c>
      <c r="I35" s="24"/>
      <c r="J35" s="24"/>
      <c r="K35" s="24"/>
    </row>
    <row r="36" spans="2:11" ht="26.45" customHeight="1">
      <c r="B36" s="24" t="s">
        <v>173</v>
      </c>
      <c r="C36" s="24" t="s">
        <v>174</v>
      </c>
      <c r="D36" s="24" t="s">
        <v>90</v>
      </c>
      <c r="E36" s="24">
        <v>410</v>
      </c>
      <c r="F36" s="24">
        <v>293</v>
      </c>
      <c r="G36" s="24">
        <v>0.88</v>
      </c>
      <c r="H36" s="25">
        <v>47208</v>
      </c>
      <c r="I36" s="24"/>
      <c r="J36" s="24"/>
      <c r="K36" s="24"/>
    </row>
    <row r="37" spans="2:11" ht="26.45" customHeight="1">
      <c r="B37" s="24" t="s">
        <v>175</v>
      </c>
      <c r="C37" s="24" t="s">
        <v>176</v>
      </c>
      <c r="D37" s="24" t="s">
        <v>91</v>
      </c>
      <c r="E37" s="24">
        <v>4280</v>
      </c>
      <c r="F37" s="24">
        <v>3253</v>
      </c>
      <c r="G37" s="24">
        <v>0.7</v>
      </c>
      <c r="H37" s="25">
        <v>47756</v>
      </c>
      <c r="I37" s="24"/>
      <c r="J37" s="24"/>
      <c r="K37" s="24"/>
    </row>
    <row r="38" spans="2:11" ht="26.45" customHeight="1">
      <c r="B38" s="24" t="s">
        <v>177</v>
      </c>
      <c r="C38" s="24" t="s">
        <v>178</v>
      </c>
      <c r="D38" s="24" t="s">
        <v>92</v>
      </c>
      <c r="E38" s="24">
        <v>1660</v>
      </c>
      <c r="F38" s="24">
        <v>1336</v>
      </c>
      <c r="G38" s="24">
        <v>0.72</v>
      </c>
      <c r="H38" s="25">
        <v>46843</v>
      </c>
      <c r="I38" s="24"/>
      <c r="J38" s="24"/>
      <c r="K38" s="24"/>
    </row>
    <row r="39" spans="2:11" ht="26.45" customHeight="1">
      <c r="B39" s="24" t="s">
        <v>179</v>
      </c>
      <c r="C39" s="24" t="s">
        <v>180</v>
      </c>
      <c r="D39" s="24" t="s">
        <v>93</v>
      </c>
      <c r="E39" s="24">
        <v>530</v>
      </c>
      <c r="F39" s="24">
        <v>450</v>
      </c>
      <c r="G39" s="24">
        <v>0.75</v>
      </c>
      <c r="H39" s="25">
        <v>47391</v>
      </c>
      <c r="I39" s="24"/>
      <c r="J39" s="24"/>
      <c r="K39" s="24"/>
    </row>
    <row r="40" spans="2:11" ht="15" customHeight="1">
      <c r="B40" s="24" t="s">
        <v>94</v>
      </c>
      <c r="C40" s="24"/>
      <c r="D40" s="24">
        <f>COUNTA(B6:B39)</f>
        <v>34</v>
      </c>
      <c r="E40" s="24">
        <f>SUM(E6:E39)</f>
        <v>61580</v>
      </c>
      <c r="F40" s="24">
        <f>SUM(F6:F39)</f>
        <v>43037</v>
      </c>
      <c r="G40" s="24">
        <f>IFERROR(SUMPRODUCT(F6:F39,G6:G39)/SUM(F6:F39),0)</f>
        <v>0.77416362664683891</v>
      </c>
      <c r="H40" s="24"/>
      <c r="I40" s="24"/>
      <c r="J40" s="24"/>
      <c r="K40" s="24"/>
    </row>
    <row r="41" spans="2:11" ht="15" customHeight="1"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2:11" ht="15" customHeight="1"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2:11" ht="15" customHeight="1"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2:11" ht="15" customHeight="1"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2:11" ht="15" customHeight="1"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2:11" ht="15" customHeight="1">
      <c r="B46" s="24"/>
      <c r="C46" s="24"/>
      <c r="D46" s="24"/>
      <c r="E46" s="24"/>
      <c r="F46" s="24"/>
      <c r="G46" s="24"/>
      <c r="H46" s="24"/>
      <c r="I46" s="24"/>
      <c r="J46" s="24"/>
      <c r="K46" s="24"/>
    </row>
  </sheetData>
  <mergeCells count="2">
    <mergeCell ref="A2:G2"/>
    <mergeCell ref="B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46"/>
  <sheetViews>
    <sheetView showGridLines="0" workbookViewId="0"/>
  </sheetViews>
  <sheetFormatPr defaultColWidth="8.7109375" defaultRowHeight="15"/>
  <cols>
    <col min="1" max="1" width="3" customWidth="1"/>
    <col min="2" max="2" width="38" customWidth="1"/>
    <col min="3" max="3" width="20" customWidth="1"/>
    <col min="4" max="4" width="18" customWidth="1"/>
    <col min="5" max="5" width="16" customWidth="1"/>
    <col min="6" max="6" width="18" customWidth="1"/>
    <col min="7" max="7" width="20" customWidth="1"/>
    <col min="8" max="8" width="18" customWidth="1"/>
    <col min="9" max="9" width="34" customWidth="1"/>
  </cols>
  <sheetData>
    <row r="2" spans="1:11" ht="25.5" customHeight="1">
      <c r="A2" s="5" t="s">
        <v>181</v>
      </c>
      <c r="B2" s="5"/>
      <c r="C2" s="5"/>
      <c r="D2" s="5"/>
      <c r="E2" s="5"/>
      <c r="F2" s="5"/>
      <c r="G2" s="5"/>
      <c r="H2" s="5"/>
    </row>
    <row r="3" spans="1:11">
      <c r="B3" s="29" t="s">
        <v>182</v>
      </c>
      <c r="C3" s="29"/>
      <c r="D3" s="29"/>
      <c r="E3" s="29"/>
      <c r="F3" s="29"/>
      <c r="G3" s="29"/>
      <c r="H3" s="29"/>
      <c r="I3" s="29"/>
    </row>
    <row r="5" spans="1:11" ht="24" customHeight="1">
      <c r="B5" s="7" t="s">
        <v>183</v>
      </c>
      <c r="C5" s="7" t="s">
        <v>184</v>
      </c>
      <c r="D5" s="7" t="s">
        <v>185</v>
      </c>
      <c r="E5" s="7" t="s">
        <v>186</v>
      </c>
      <c r="F5" s="7" t="s">
        <v>187</v>
      </c>
      <c r="G5" s="7" t="s">
        <v>188</v>
      </c>
      <c r="H5" s="7" t="s">
        <v>189</v>
      </c>
      <c r="I5" s="7" t="s">
        <v>103</v>
      </c>
      <c r="J5" s="24"/>
      <c r="K5" s="24"/>
    </row>
    <row r="6" spans="1:11" ht="24" customHeight="1">
      <c r="B6" s="17" t="s">
        <v>190</v>
      </c>
      <c r="C6" s="17" t="s">
        <v>191</v>
      </c>
      <c r="D6" s="17" t="s">
        <v>192</v>
      </c>
      <c r="E6" s="17" t="s">
        <v>193</v>
      </c>
      <c r="F6" s="17" t="s">
        <v>193</v>
      </c>
      <c r="G6" s="17" t="s">
        <v>194</v>
      </c>
      <c r="H6" s="17" t="s">
        <v>195</v>
      </c>
      <c r="I6" s="17" t="s">
        <v>196</v>
      </c>
      <c r="J6" s="24"/>
      <c r="K6" s="24"/>
    </row>
    <row r="7" spans="1:11" ht="24" customHeight="1">
      <c r="B7" s="18" t="s">
        <v>197</v>
      </c>
      <c r="C7" s="18" t="s">
        <v>198</v>
      </c>
      <c r="D7" s="18" t="s">
        <v>192</v>
      </c>
      <c r="E7" s="18" t="s">
        <v>193</v>
      </c>
      <c r="F7" s="18" t="s">
        <v>193</v>
      </c>
      <c r="G7" s="18" t="s">
        <v>194</v>
      </c>
      <c r="H7" s="18" t="s">
        <v>195</v>
      </c>
      <c r="I7" s="18" t="s">
        <v>196</v>
      </c>
      <c r="J7" s="24"/>
      <c r="K7" s="24"/>
    </row>
    <row r="8" spans="1:11" ht="24" customHeight="1">
      <c r="B8" s="18" t="s">
        <v>199</v>
      </c>
      <c r="C8" s="18" t="s">
        <v>200</v>
      </c>
      <c r="D8" s="18" t="s">
        <v>192</v>
      </c>
      <c r="E8" s="18" t="s">
        <v>193</v>
      </c>
      <c r="F8" s="18" t="s">
        <v>193</v>
      </c>
      <c r="G8" s="18" t="s">
        <v>194</v>
      </c>
      <c r="H8" s="18" t="s">
        <v>195</v>
      </c>
      <c r="I8" s="18" t="s">
        <v>196</v>
      </c>
      <c r="J8" s="24"/>
      <c r="K8" s="24"/>
    </row>
    <row r="9" spans="1:11" ht="24" customHeight="1">
      <c r="B9" s="18" t="s">
        <v>201</v>
      </c>
      <c r="C9" s="18" t="s">
        <v>202</v>
      </c>
      <c r="D9" s="18" t="s">
        <v>192</v>
      </c>
      <c r="E9" s="18" t="s">
        <v>193</v>
      </c>
      <c r="F9" s="18" t="s">
        <v>193</v>
      </c>
      <c r="G9" s="18" t="s">
        <v>194</v>
      </c>
      <c r="H9" s="18" t="s">
        <v>195</v>
      </c>
      <c r="I9" s="18" t="s">
        <v>196</v>
      </c>
      <c r="J9" s="24"/>
      <c r="K9" s="24"/>
    </row>
    <row r="10" spans="1:11" ht="24" customHeight="1">
      <c r="B10" s="18" t="s">
        <v>203</v>
      </c>
      <c r="C10" s="18" t="s">
        <v>204</v>
      </c>
      <c r="D10" s="18" t="s">
        <v>192</v>
      </c>
      <c r="E10" s="18" t="s">
        <v>193</v>
      </c>
      <c r="F10" s="18" t="s">
        <v>193</v>
      </c>
      <c r="G10" s="18" t="s">
        <v>194</v>
      </c>
      <c r="H10" s="18" t="s">
        <v>195</v>
      </c>
      <c r="I10" s="18" t="s">
        <v>196</v>
      </c>
      <c r="J10" s="24"/>
      <c r="K10" s="24"/>
    </row>
    <row r="11" spans="1:11" ht="24" customHeight="1">
      <c r="B11" s="18" t="s">
        <v>205</v>
      </c>
      <c r="C11" s="18" t="s">
        <v>206</v>
      </c>
      <c r="D11" s="18" t="s">
        <v>207</v>
      </c>
      <c r="E11" s="18" t="s">
        <v>193</v>
      </c>
      <c r="F11" s="18" t="s">
        <v>193</v>
      </c>
      <c r="G11" s="18" t="s">
        <v>194</v>
      </c>
      <c r="H11" s="18" t="s">
        <v>195</v>
      </c>
      <c r="I11" s="18" t="s">
        <v>196</v>
      </c>
      <c r="J11" s="24"/>
      <c r="K11" s="24"/>
    </row>
    <row r="12" spans="1:11" ht="24" customHeight="1">
      <c r="B12" s="18" t="s">
        <v>208</v>
      </c>
      <c r="C12" s="18" t="s">
        <v>209</v>
      </c>
      <c r="D12" s="18" t="s">
        <v>192</v>
      </c>
      <c r="E12" s="18" t="s">
        <v>193</v>
      </c>
      <c r="F12" s="18" t="s">
        <v>194</v>
      </c>
      <c r="G12" s="18" t="s">
        <v>194</v>
      </c>
      <c r="H12" s="18" t="s">
        <v>195</v>
      </c>
      <c r="I12" s="18" t="s">
        <v>196</v>
      </c>
      <c r="J12" s="24"/>
      <c r="K12" s="24"/>
    </row>
    <row r="13" spans="1:11" ht="24" customHeight="1">
      <c r="B13" s="18" t="s">
        <v>210</v>
      </c>
      <c r="C13" s="18" t="s">
        <v>211</v>
      </c>
      <c r="D13" s="18" t="s">
        <v>192</v>
      </c>
      <c r="E13" s="18" t="s">
        <v>193</v>
      </c>
      <c r="F13" s="18" t="s">
        <v>193</v>
      </c>
      <c r="G13" s="18" t="s">
        <v>194</v>
      </c>
      <c r="H13" s="18" t="s">
        <v>195</v>
      </c>
      <c r="I13" s="18" t="s">
        <v>196</v>
      </c>
      <c r="J13" s="24"/>
      <c r="K13" s="24"/>
    </row>
    <row r="14" spans="1:11" ht="24" customHeight="1">
      <c r="B14" s="18" t="s">
        <v>212</v>
      </c>
      <c r="C14" s="18" t="s">
        <v>213</v>
      </c>
      <c r="D14" s="18" t="s">
        <v>192</v>
      </c>
      <c r="E14" s="18" t="s">
        <v>193</v>
      </c>
      <c r="F14" s="18" t="s">
        <v>193</v>
      </c>
      <c r="G14" s="18" t="s">
        <v>193</v>
      </c>
      <c r="H14" s="18" t="s">
        <v>193</v>
      </c>
      <c r="I14" s="18" t="s">
        <v>196</v>
      </c>
      <c r="J14" s="24"/>
      <c r="K14" s="24"/>
    </row>
    <row r="15" spans="1:11" ht="24" customHeight="1">
      <c r="B15" s="18" t="s">
        <v>214</v>
      </c>
      <c r="C15" s="18" t="s">
        <v>215</v>
      </c>
      <c r="D15" s="18" t="s">
        <v>192</v>
      </c>
      <c r="E15" s="18" t="s">
        <v>193</v>
      </c>
      <c r="F15" s="18" t="s">
        <v>193</v>
      </c>
      <c r="G15" s="18" t="s">
        <v>194</v>
      </c>
      <c r="H15" s="18" t="s">
        <v>195</v>
      </c>
      <c r="I15" s="18" t="s">
        <v>196</v>
      </c>
      <c r="J15" s="24"/>
      <c r="K15" s="24"/>
    </row>
    <row r="16" spans="1:11" ht="24" customHeight="1">
      <c r="B16" s="18" t="s">
        <v>216</v>
      </c>
      <c r="C16" s="18" t="s">
        <v>217</v>
      </c>
      <c r="D16" s="18" t="s">
        <v>192</v>
      </c>
      <c r="E16" s="18" t="s">
        <v>193</v>
      </c>
      <c r="F16" s="18" t="s">
        <v>193</v>
      </c>
      <c r="G16" s="18" t="s">
        <v>194</v>
      </c>
      <c r="H16" s="18" t="s">
        <v>195</v>
      </c>
      <c r="I16" s="18" t="s">
        <v>196</v>
      </c>
      <c r="J16" s="24"/>
      <c r="K16" s="24"/>
    </row>
    <row r="17" spans="2:11" ht="24" customHeight="1">
      <c r="B17" s="18" t="s">
        <v>218</v>
      </c>
      <c r="C17" s="18" t="s">
        <v>219</v>
      </c>
      <c r="D17" s="18" t="s">
        <v>207</v>
      </c>
      <c r="E17" s="18" t="s">
        <v>193</v>
      </c>
      <c r="F17" s="18" t="s">
        <v>193</v>
      </c>
      <c r="G17" s="18" t="s">
        <v>194</v>
      </c>
      <c r="H17" s="18" t="s">
        <v>195</v>
      </c>
      <c r="I17" s="18" t="s">
        <v>196</v>
      </c>
      <c r="J17" s="24"/>
      <c r="K17" s="24"/>
    </row>
    <row r="18" spans="2:11" ht="24" customHeight="1">
      <c r="B18" s="18" t="s">
        <v>220</v>
      </c>
      <c r="C18" s="18" t="s">
        <v>221</v>
      </c>
      <c r="D18" s="18" t="s">
        <v>192</v>
      </c>
      <c r="E18" s="18" t="s">
        <v>193</v>
      </c>
      <c r="F18" s="18" t="s">
        <v>193</v>
      </c>
      <c r="G18" s="18" t="s">
        <v>194</v>
      </c>
      <c r="H18" s="18" t="s">
        <v>195</v>
      </c>
      <c r="I18" s="18" t="s">
        <v>196</v>
      </c>
      <c r="J18" s="24"/>
      <c r="K18" s="24"/>
    </row>
    <row r="19" spans="2:11" ht="24" customHeight="1">
      <c r="B19" s="18" t="s">
        <v>222</v>
      </c>
      <c r="C19" s="18" t="s">
        <v>223</v>
      </c>
      <c r="D19" s="18" t="s">
        <v>192</v>
      </c>
      <c r="E19" s="18" t="s">
        <v>193</v>
      </c>
      <c r="F19" s="18" t="s">
        <v>194</v>
      </c>
      <c r="G19" s="18" t="s">
        <v>194</v>
      </c>
      <c r="H19" s="18" t="s">
        <v>195</v>
      </c>
      <c r="I19" s="18" t="s">
        <v>196</v>
      </c>
      <c r="J19" s="24"/>
      <c r="K19" s="24"/>
    </row>
    <row r="20" spans="2:11" ht="24" customHeight="1">
      <c r="B20" s="18" t="s">
        <v>224</v>
      </c>
      <c r="C20" s="18" t="s">
        <v>225</v>
      </c>
      <c r="D20" s="18" t="s">
        <v>192</v>
      </c>
      <c r="E20" s="18" t="s">
        <v>193</v>
      </c>
      <c r="F20" s="18" t="s">
        <v>193</v>
      </c>
      <c r="G20" s="18" t="s">
        <v>194</v>
      </c>
      <c r="H20" s="18" t="s">
        <v>195</v>
      </c>
      <c r="I20" s="18" t="s">
        <v>196</v>
      </c>
      <c r="J20" s="24"/>
      <c r="K20" s="24"/>
    </row>
    <row r="21" spans="2:11" ht="24" customHeight="1">
      <c r="B21" s="18" t="s">
        <v>226</v>
      </c>
      <c r="C21" s="18" t="s">
        <v>227</v>
      </c>
      <c r="D21" s="18" t="s">
        <v>192</v>
      </c>
      <c r="E21" s="18" t="s">
        <v>193</v>
      </c>
      <c r="F21" s="18" t="s">
        <v>193</v>
      </c>
      <c r="G21" s="18" t="s">
        <v>194</v>
      </c>
      <c r="H21" s="18" t="s">
        <v>195</v>
      </c>
      <c r="I21" s="18" t="s">
        <v>196</v>
      </c>
      <c r="J21" s="24"/>
      <c r="K21" s="24"/>
    </row>
    <row r="22" spans="2:11" ht="24" customHeight="1">
      <c r="B22" s="18" t="s">
        <v>228</v>
      </c>
      <c r="C22" s="18" t="s">
        <v>229</v>
      </c>
      <c r="D22" s="18" t="s">
        <v>192</v>
      </c>
      <c r="E22" s="18" t="s">
        <v>193</v>
      </c>
      <c r="F22" s="18" t="s">
        <v>193</v>
      </c>
      <c r="G22" s="18" t="s">
        <v>194</v>
      </c>
      <c r="H22" s="18" t="s">
        <v>195</v>
      </c>
      <c r="I22" s="18" t="s">
        <v>196</v>
      </c>
      <c r="J22" s="24"/>
      <c r="K22" s="24"/>
    </row>
    <row r="23" spans="2:11" ht="24" customHeight="1">
      <c r="B23" s="18" t="s">
        <v>230</v>
      </c>
      <c r="C23" s="18" t="s">
        <v>231</v>
      </c>
      <c r="D23" s="18" t="s">
        <v>207</v>
      </c>
      <c r="E23" s="18" t="s">
        <v>193</v>
      </c>
      <c r="F23" s="18" t="s">
        <v>193</v>
      </c>
      <c r="G23" s="18" t="s">
        <v>193</v>
      </c>
      <c r="H23" s="18" t="s">
        <v>194</v>
      </c>
      <c r="I23" s="18" t="s">
        <v>196</v>
      </c>
      <c r="J23" s="24"/>
      <c r="K23" s="24"/>
    </row>
    <row r="24" spans="2:11" ht="24" customHeight="1">
      <c r="B24" s="18" t="s">
        <v>232</v>
      </c>
      <c r="C24" s="18" t="s">
        <v>233</v>
      </c>
      <c r="D24" s="18" t="s">
        <v>192</v>
      </c>
      <c r="E24" s="18" t="s">
        <v>193</v>
      </c>
      <c r="F24" s="18" t="s">
        <v>193</v>
      </c>
      <c r="G24" s="18" t="s">
        <v>194</v>
      </c>
      <c r="H24" s="18" t="s">
        <v>195</v>
      </c>
      <c r="I24" s="18" t="s">
        <v>196</v>
      </c>
      <c r="J24" s="24"/>
      <c r="K24" s="24"/>
    </row>
    <row r="25" spans="2:11" ht="24" customHeight="1">
      <c r="B25" s="18" t="s">
        <v>234</v>
      </c>
      <c r="C25" s="18" t="s">
        <v>235</v>
      </c>
      <c r="D25" s="18" t="s">
        <v>192</v>
      </c>
      <c r="E25" s="18" t="s">
        <v>193</v>
      </c>
      <c r="F25" s="18" t="s">
        <v>193</v>
      </c>
      <c r="G25" s="18" t="s">
        <v>194</v>
      </c>
      <c r="H25" s="18" t="s">
        <v>195</v>
      </c>
      <c r="I25" s="18" t="s">
        <v>196</v>
      </c>
      <c r="J25" s="24"/>
      <c r="K25" s="24"/>
    </row>
    <row r="26" spans="2:11" ht="24" customHeight="1">
      <c r="B26" s="18" t="s">
        <v>236</v>
      </c>
      <c r="C26" s="18" t="s">
        <v>237</v>
      </c>
      <c r="D26" s="18" t="s">
        <v>192</v>
      </c>
      <c r="E26" s="18" t="s">
        <v>193</v>
      </c>
      <c r="F26" s="18" t="s">
        <v>194</v>
      </c>
      <c r="G26" s="18" t="s">
        <v>194</v>
      </c>
      <c r="H26" s="18" t="s">
        <v>195</v>
      </c>
      <c r="I26" s="18" t="s">
        <v>196</v>
      </c>
      <c r="J26" s="24"/>
      <c r="K26" s="24"/>
    </row>
    <row r="27" spans="2:11" ht="26.45" customHeight="1">
      <c r="B27" s="24" t="s">
        <v>238</v>
      </c>
      <c r="C27" s="24" t="s">
        <v>239</v>
      </c>
      <c r="D27" s="24" t="s">
        <v>192</v>
      </c>
      <c r="E27" s="24" t="s">
        <v>193</v>
      </c>
      <c r="F27" s="24" t="s">
        <v>193</v>
      </c>
      <c r="G27" s="24" t="s">
        <v>194</v>
      </c>
      <c r="H27" s="24" t="s">
        <v>195</v>
      </c>
      <c r="I27" s="24" t="s">
        <v>196</v>
      </c>
      <c r="J27" s="24"/>
      <c r="K27" s="24"/>
    </row>
    <row r="28" spans="2:11" ht="26.45" customHeight="1">
      <c r="B28" s="26" t="s">
        <v>240</v>
      </c>
      <c r="C28" s="26" t="s">
        <v>241</v>
      </c>
      <c r="D28" s="24" t="s">
        <v>192</v>
      </c>
      <c r="E28" s="24" t="s">
        <v>193</v>
      </c>
      <c r="F28" s="24" t="s">
        <v>193</v>
      </c>
      <c r="G28" s="24" t="s">
        <v>194</v>
      </c>
      <c r="H28" s="24" t="s">
        <v>195</v>
      </c>
      <c r="I28" s="24" t="s">
        <v>196</v>
      </c>
      <c r="J28" s="24"/>
      <c r="K28" s="24"/>
    </row>
    <row r="29" spans="2:11" ht="26.45" customHeight="1">
      <c r="B29" s="26" t="s">
        <v>242</v>
      </c>
      <c r="C29" s="26" t="s">
        <v>243</v>
      </c>
      <c r="D29" s="24" t="s">
        <v>207</v>
      </c>
      <c r="E29" s="24" t="s">
        <v>193</v>
      </c>
      <c r="F29" s="24" t="s">
        <v>193</v>
      </c>
      <c r="G29" s="24" t="s">
        <v>194</v>
      </c>
      <c r="H29" s="24" t="s">
        <v>195</v>
      </c>
      <c r="I29" s="24" t="s">
        <v>196</v>
      </c>
      <c r="J29" s="24"/>
      <c r="K29" s="24"/>
    </row>
    <row r="30" spans="2:11" ht="26.45" customHeight="1">
      <c r="B30" s="26" t="s">
        <v>244</v>
      </c>
      <c r="C30" s="26" t="s">
        <v>245</v>
      </c>
      <c r="D30" s="24" t="s">
        <v>192</v>
      </c>
      <c r="E30" s="24" t="s">
        <v>193</v>
      </c>
      <c r="F30" s="24" t="s">
        <v>193</v>
      </c>
      <c r="G30" s="24" t="s">
        <v>194</v>
      </c>
      <c r="H30" s="24" t="s">
        <v>195</v>
      </c>
      <c r="I30" s="24" t="s">
        <v>196</v>
      </c>
      <c r="J30" s="24"/>
      <c r="K30" s="24"/>
    </row>
    <row r="31" spans="2:11" ht="26.45" customHeight="1">
      <c r="B31" s="26" t="s">
        <v>246</v>
      </c>
      <c r="C31" s="26" t="s">
        <v>247</v>
      </c>
      <c r="D31" s="24" t="s">
        <v>192</v>
      </c>
      <c r="E31" s="24" t="s">
        <v>193</v>
      </c>
      <c r="F31" s="24" t="s">
        <v>193</v>
      </c>
      <c r="G31" s="24" t="s">
        <v>194</v>
      </c>
      <c r="H31" s="24" t="s">
        <v>195</v>
      </c>
      <c r="I31" s="24" t="s">
        <v>196</v>
      </c>
      <c r="J31" s="24"/>
      <c r="K31" s="24"/>
    </row>
    <row r="32" spans="2:11" ht="26.45" customHeight="1">
      <c r="B32" s="26" t="s">
        <v>248</v>
      </c>
      <c r="C32" s="26" t="s">
        <v>249</v>
      </c>
      <c r="D32" s="24" t="s">
        <v>192</v>
      </c>
      <c r="E32" s="24" t="s">
        <v>193</v>
      </c>
      <c r="F32" s="24" t="s">
        <v>193</v>
      </c>
      <c r="G32" s="24" t="s">
        <v>193</v>
      </c>
      <c r="H32" s="24" t="s">
        <v>193</v>
      </c>
      <c r="I32" s="24" t="s">
        <v>196</v>
      </c>
      <c r="J32" s="24"/>
      <c r="K32" s="24"/>
    </row>
    <row r="33" spans="2:11" ht="26.45" customHeight="1">
      <c r="B33" s="26" t="s">
        <v>250</v>
      </c>
      <c r="C33" s="26" t="s">
        <v>251</v>
      </c>
      <c r="D33" s="24" t="s">
        <v>192</v>
      </c>
      <c r="E33" s="24" t="s">
        <v>193</v>
      </c>
      <c r="F33" s="24" t="s">
        <v>194</v>
      </c>
      <c r="G33" s="24" t="s">
        <v>194</v>
      </c>
      <c r="H33" s="24" t="s">
        <v>195</v>
      </c>
      <c r="I33" s="24" t="s">
        <v>196</v>
      </c>
      <c r="J33" s="24"/>
      <c r="K33" s="24"/>
    </row>
    <row r="34" spans="2:11" ht="26.45" customHeight="1">
      <c r="B34" s="24" t="s">
        <v>252</v>
      </c>
      <c r="C34" s="24" t="s">
        <v>253</v>
      </c>
      <c r="D34" s="24" t="s">
        <v>192</v>
      </c>
      <c r="E34" s="24" t="s">
        <v>193</v>
      </c>
      <c r="F34" s="24" t="s">
        <v>193</v>
      </c>
      <c r="G34" s="24" t="s">
        <v>194</v>
      </c>
      <c r="H34" s="24" t="s">
        <v>195</v>
      </c>
      <c r="I34" s="24" t="s">
        <v>196</v>
      </c>
      <c r="J34" s="24"/>
      <c r="K34" s="24"/>
    </row>
    <row r="35" spans="2:11" ht="26.45" customHeight="1">
      <c r="B35" s="24" t="s">
        <v>254</v>
      </c>
      <c r="C35" s="24" t="s">
        <v>255</v>
      </c>
      <c r="D35" s="24" t="s">
        <v>207</v>
      </c>
      <c r="E35" s="24" t="s">
        <v>193</v>
      </c>
      <c r="F35" s="24" t="s">
        <v>193</v>
      </c>
      <c r="G35" s="24" t="s">
        <v>194</v>
      </c>
      <c r="H35" s="24" t="s">
        <v>195</v>
      </c>
      <c r="I35" s="24" t="s">
        <v>196</v>
      </c>
      <c r="J35" s="24"/>
      <c r="K35" s="24"/>
    </row>
    <row r="36" spans="2:11" ht="26.45" customHeight="1">
      <c r="B36" s="24" t="s">
        <v>256</v>
      </c>
      <c r="C36" s="24" t="s">
        <v>257</v>
      </c>
      <c r="D36" s="24" t="s">
        <v>192</v>
      </c>
      <c r="E36" s="24" t="s">
        <v>193</v>
      </c>
      <c r="F36" s="24" t="s">
        <v>193</v>
      </c>
      <c r="G36" s="24" t="s">
        <v>194</v>
      </c>
      <c r="H36" s="24" t="s">
        <v>195</v>
      </c>
      <c r="I36" s="24" t="s">
        <v>196</v>
      </c>
      <c r="J36" s="24"/>
      <c r="K36" s="24"/>
    </row>
    <row r="37" spans="2:11" ht="26.45" customHeight="1">
      <c r="B37" s="24" t="s">
        <v>258</v>
      </c>
      <c r="C37" s="24" t="s">
        <v>259</v>
      </c>
      <c r="D37" s="24" t="s">
        <v>192</v>
      </c>
      <c r="E37" s="24" t="s">
        <v>193</v>
      </c>
      <c r="F37" s="24" t="s">
        <v>193</v>
      </c>
      <c r="G37" s="24" t="s">
        <v>194</v>
      </c>
      <c r="H37" s="24" t="s">
        <v>195</v>
      </c>
      <c r="I37" s="24" t="s">
        <v>196</v>
      </c>
      <c r="J37" s="24"/>
      <c r="K37" s="24"/>
    </row>
    <row r="38" spans="2:11" ht="26.45" customHeight="1">
      <c r="B38" s="24" t="s">
        <v>260</v>
      </c>
      <c r="C38" s="24" t="s">
        <v>261</v>
      </c>
      <c r="D38" s="24" t="s">
        <v>192</v>
      </c>
      <c r="E38" s="24" t="s">
        <v>193</v>
      </c>
      <c r="F38" s="24" t="s">
        <v>193</v>
      </c>
      <c r="G38" s="24" t="s">
        <v>194</v>
      </c>
      <c r="H38" s="24" t="s">
        <v>195</v>
      </c>
      <c r="I38" s="24" t="s">
        <v>196</v>
      </c>
      <c r="J38" s="24"/>
      <c r="K38" s="24"/>
    </row>
    <row r="39" spans="2:11" ht="26.45" customHeight="1">
      <c r="B39" s="24" t="s">
        <v>262</v>
      </c>
      <c r="C39" s="24" t="s">
        <v>263</v>
      </c>
      <c r="D39" s="24" t="s">
        <v>192</v>
      </c>
      <c r="E39" s="24" t="s">
        <v>193</v>
      </c>
      <c r="F39" s="24" t="s">
        <v>193</v>
      </c>
      <c r="G39" s="24" t="s">
        <v>194</v>
      </c>
      <c r="H39" s="24" t="s">
        <v>195</v>
      </c>
      <c r="I39" s="24" t="s">
        <v>196</v>
      </c>
      <c r="J39" s="24"/>
      <c r="K39" s="24"/>
    </row>
    <row r="40" spans="2:11" ht="15" customHeight="1"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2:11" ht="15" customHeight="1">
      <c r="B41" s="24" t="s">
        <v>192</v>
      </c>
      <c r="C41" s="24">
        <f>COUNTIF(D6:D39,"Compliant")</f>
        <v>29</v>
      </c>
      <c r="D41" s="24"/>
      <c r="E41" s="24"/>
      <c r="F41" s="24"/>
      <c r="G41" s="24"/>
      <c r="H41" s="24"/>
      <c r="I41" s="24"/>
      <c r="J41" s="24"/>
      <c r="K41" s="24"/>
    </row>
    <row r="42" spans="2:11" ht="15" customHeight="1">
      <c r="B42" s="24" t="s">
        <v>264</v>
      </c>
      <c r="C42" s="24">
        <f>COUNTA(B6:B39)</f>
        <v>34</v>
      </c>
      <c r="D42" s="24"/>
      <c r="E42" s="24"/>
      <c r="F42" s="24"/>
      <c r="G42" s="24"/>
      <c r="H42" s="24"/>
      <c r="I42" s="24"/>
      <c r="J42" s="24"/>
      <c r="K42" s="24"/>
    </row>
    <row r="43" spans="2:11" ht="15" customHeight="1">
      <c r="B43" s="24" t="s">
        <v>265</v>
      </c>
      <c r="C43" s="24">
        <f>COUNTIF(E6:E39,"Yes")</f>
        <v>34</v>
      </c>
      <c r="D43" s="24"/>
      <c r="E43" s="24"/>
      <c r="F43" s="24"/>
      <c r="G43" s="24"/>
      <c r="H43" s="24"/>
      <c r="I43" s="24"/>
      <c r="J43" s="24"/>
      <c r="K43" s="24"/>
    </row>
    <row r="44" spans="2:11" ht="15" customHeight="1">
      <c r="B44" s="24" t="s">
        <v>266</v>
      </c>
      <c r="C44" s="24">
        <f>COUNTIF(F6:F39,"Yes")</f>
        <v>30</v>
      </c>
      <c r="D44" s="24"/>
      <c r="E44" s="24"/>
      <c r="F44" s="24"/>
      <c r="G44" s="24"/>
      <c r="H44" s="24"/>
      <c r="I44" s="24"/>
      <c r="J44" s="24"/>
      <c r="K44" s="24"/>
    </row>
    <row r="45" spans="2:11" ht="15" customHeight="1">
      <c r="B45" s="24" t="s">
        <v>267</v>
      </c>
      <c r="C45" s="24">
        <f>COUNTIF(G6:G39,"Yes")</f>
        <v>3</v>
      </c>
      <c r="D45" s="24"/>
      <c r="E45" s="24"/>
      <c r="F45" s="24"/>
      <c r="G45" s="24"/>
      <c r="H45" s="24"/>
      <c r="I45" s="24"/>
      <c r="J45" s="24"/>
      <c r="K45" s="24"/>
    </row>
    <row r="46" spans="2:11" ht="15" customHeight="1">
      <c r="B46" s="24" t="s">
        <v>268</v>
      </c>
      <c r="C46" s="24">
        <f>COUNTIF(H6:H39,"Yes")</f>
        <v>2</v>
      </c>
      <c r="D46" s="24"/>
      <c r="E46" s="24"/>
      <c r="F46" s="24"/>
      <c r="G46" s="24"/>
      <c r="H46" s="24"/>
      <c r="I46" s="24"/>
      <c r="J46" s="24"/>
      <c r="K46" s="24"/>
    </row>
  </sheetData>
  <mergeCells count="2">
    <mergeCell ref="A2:H2"/>
    <mergeCell ref="B3:I3"/>
  </mergeCells>
  <dataValidations count="2">
    <dataValidation type="list" allowBlank="1" sqref="D7:D26" xr:uid="{00000000-0002-0000-0500-000000000000}">
      <formula1>"Compliant,Non-compliant,Under Review"</formula1>
      <formula2>0</formula2>
    </dataValidation>
    <dataValidation type="list" allowBlank="1" sqref="E7:H26" xr:uid="{00000000-0002-0000-0500-000001000000}">
      <formula1>"Yes,No,N/A"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46"/>
  <sheetViews>
    <sheetView showGridLines="0" workbookViewId="0"/>
  </sheetViews>
  <sheetFormatPr defaultColWidth="8.7109375" defaultRowHeight="15"/>
  <cols>
    <col min="1" max="1" width="3" customWidth="1"/>
    <col min="2" max="2" width="32" customWidth="1"/>
    <col min="3" max="3" width="18" customWidth="1"/>
    <col min="4" max="4" width="20" customWidth="1"/>
    <col min="5" max="5" width="18" customWidth="1"/>
    <col min="6" max="6" width="20" customWidth="1"/>
    <col min="7" max="7" width="42" customWidth="1"/>
    <col min="8" max="8" width="30" customWidth="1"/>
  </cols>
  <sheetData>
    <row r="2" spans="1:11" ht="25.5" customHeight="1">
      <c r="A2" s="5" t="s">
        <v>269</v>
      </c>
      <c r="B2" s="5"/>
      <c r="C2" s="5"/>
      <c r="D2" s="5"/>
      <c r="E2" s="5"/>
      <c r="F2" s="5"/>
      <c r="G2" s="5"/>
    </row>
    <row r="3" spans="1:11">
      <c r="B3" s="29" t="s">
        <v>270</v>
      </c>
      <c r="C3" s="29"/>
      <c r="D3" s="29"/>
      <c r="E3" s="29"/>
      <c r="F3" s="29"/>
      <c r="G3" s="29"/>
      <c r="H3" s="29"/>
    </row>
    <row r="5" spans="1:11" ht="24" customHeight="1">
      <c r="B5" s="7" t="s">
        <v>271</v>
      </c>
      <c r="C5" s="7" t="s">
        <v>50</v>
      </c>
      <c r="D5" s="7" t="s">
        <v>272</v>
      </c>
      <c r="E5" s="7" t="s">
        <v>273</v>
      </c>
      <c r="F5" s="7" t="s">
        <v>274</v>
      </c>
      <c r="G5" s="7" t="s">
        <v>275</v>
      </c>
      <c r="H5" s="7" t="s">
        <v>103</v>
      </c>
      <c r="I5" s="24"/>
      <c r="J5" s="24"/>
      <c r="K5" s="24"/>
    </row>
    <row r="6" spans="1:11" ht="24" customHeight="1">
      <c r="B6" s="17" t="s">
        <v>276</v>
      </c>
      <c r="C6" s="17" t="s">
        <v>60</v>
      </c>
      <c r="D6" s="17" t="s">
        <v>277</v>
      </c>
      <c r="E6" s="17">
        <v>125</v>
      </c>
      <c r="F6" s="17">
        <v>55</v>
      </c>
      <c r="G6" s="17" t="s">
        <v>278</v>
      </c>
      <c r="H6" s="17" t="s">
        <v>279</v>
      </c>
      <c r="I6" s="24"/>
      <c r="J6" s="24"/>
      <c r="K6" s="24"/>
    </row>
    <row r="7" spans="1:11" ht="24" customHeight="1">
      <c r="B7" s="18" t="s">
        <v>280</v>
      </c>
      <c r="C7" s="18" t="s">
        <v>61</v>
      </c>
      <c r="D7" s="18" t="s">
        <v>281</v>
      </c>
      <c r="E7" s="18">
        <v>22</v>
      </c>
      <c r="F7" s="18">
        <v>12</v>
      </c>
      <c r="G7" s="18" t="s">
        <v>278</v>
      </c>
      <c r="H7" s="18" t="s">
        <v>279</v>
      </c>
      <c r="I7" s="24"/>
      <c r="J7" s="24"/>
      <c r="K7" s="24"/>
    </row>
    <row r="8" spans="1:11" ht="24" customHeight="1">
      <c r="B8" s="18" t="s">
        <v>282</v>
      </c>
      <c r="C8" s="18" t="s">
        <v>62</v>
      </c>
      <c r="D8" s="18" t="s">
        <v>283</v>
      </c>
      <c r="E8" s="18">
        <v>32</v>
      </c>
      <c r="F8" s="18">
        <v>20</v>
      </c>
      <c r="G8" s="18" t="s">
        <v>278</v>
      </c>
      <c r="H8" s="18" t="s">
        <v>279</v>
      </c>
      <c r="I8" s="24"/>
      <c r="J8" s="24"/>
      <c r="K8" s="24"/>
    </row>
    <row r="9" spans="1:11" ht="24" customHeight="1">
      <c r="B9" s="18" t="s">
        <v>284</v>
      </c>
      <c r="C9" s="18" t="s">
        <v>63</v>
      </c>
      <c r="D9" s="18" t="s">
        <v>285</v>
      </c>
      <c r="E9" s="18">
        <v>15</v>
      </c>
      <c r="F9" s="18">
        <v>11</v>
      </c>
      <c r="G9" s="18" t="s">
        <v>278</v>
      </c>
      <c r="H9" s="18" t="s">
        <v>279</v>
      </c>
      <c r="I9" s="24"/>
      <c r="J9" s="24"/>
      <c r="K9" s="24"/>
    </row>
    <row r="10" spans="1:11" ht="24" customHeight="1">
      <c r="B10" s="18" t="s">
        <v>286</v>
      </c>
      <c r="C10" s="18" t="s">
        <v>64</v>
      </c>
      <c r="D10" s="18" t="s">
        <v>277</v>
      </c>
      <c r="E10" s="18">
        <v>30</v>
      </c>
      <c r="F10" s="18">
        <v>24</v>
      </c>
      <c r="G10" s="18" t="s">
        <v>278</v>
      </c>
      <c r="H10" s="18" t="s">
        <v>279</v>
      </c>
      <c r="I10" s="24"/>
      <c r="J10" s="24"/>
      <c r="K10" s="24"/>
    </row>
    <row r="11" spans="1:11" ht="24" customHeight="1">
      <c r="B11" s="18" t="s">
        <v>287</v>
      </c>
      <c r="C11" s="18" t="s">
        <v>65</v>
      </c>
      <c r="D11" s="18" t="s">
        <v>281</v>
      </c>
      <c r="E11" s="18">
        <v>24</v>
      </c>
      <c r="F11" s="18">
        <v>8</v>
      </c>
      <c r="G11" s="18" t="s">
        <v>278</v>
      </c>
      <c r="H11" s="18" t="s">
        <v>279</v>
      </c>
      <c r="I11" s="24"/>
      <c r="J11" s="24"/>
      <c r="K11" s="24"/>
    </row>
    <row r="12" spans="1:11" ht="24" customHeight="1">
      <c r="B12" s="18" t="s">
        <v>288</v>
      </c>
      <c r="C12" s="18" t="s">
        <v>66</v>
      </c>
      <c r="D12" s="18" t="s">
        <v>283</v>
      </c>
      <c r="E12" s="18">
        <v>43</v>
      </c>
      <c r="F12" s="18">
        <v>19</v>
      </c>
      <c r="G12" s="18" t="s">
        <v>278</v>
      </c>
      <c r="H12" s="18" t="s">
        <v>279</v>
      </c>
      <c r="I12" s="24"/>
      <c r="J12" s="24"/>
      <c r="K12" s="24"/>
    </row>
    <row r="13" spans="1:11" ht="24" customHeight="1">
      <c r="B13" s="18" t="s">
        <v>289</v>
      </c>
      <c r="C13" s="18" t="s">
        <v>67</v>
      </c>
      <c r="D13" s="18" t="s">
        <v>285</v>
      </c>
      <c r="E13" s="18">
        <v>12</v>
      </c>
      <c r="F13" s="18">
        <v>6</v>
      </c>
      <c r="G13" s="18" t="s">
        <v>278</v>
      </c>
      <c r="H13" s="18" t="s">
        <v>279</v>
      </c>
      <c r="I13" s="24"/>
      <c r="J13" s="24"/>
      <c r="K13" s="24"/>
    </row>
    <row r="14" spans="1:11" ht="24" customHeight="1">
      <c r="B14" s="18" t="s">
        <v>290</v>
      </c>
      <c r="C14" s="18" t="s">
        <v>68</v>
      </c>
      <c r="D14" s="18" t="s">
        <v>277</v>
      </c>
      <c r="E14" s="18">
        <v>15</v>
      </c>
      <c r="F14" s="18">
        <v>9</v>
      </c>
      <c r="G14" s="18" t="s">
        <v>278</v>
      </c>
      <c r="H14" s="18" t="s">
        <v>279</v>
      </c>
      <c r="I14" s="24"/>
      <c r="J14" s="24"/>
      <c r="K14" s="24"/>
    </row>
    <row r="15" spans="1:11" ht="24" customHeight="1">
      <c r="B15" s="18" t="s">
        <v>291</v>
      </c>
      <c r="C15" s="18" t="s">
        <v>69</v>
      </c>
      <c r="D15" s="18" t="s">
        <v>281</v>
      </c>
      <c r="E15" s="18">
        <v>29</v>
      </c>
      <c r="F15" s="18">
        <v>21</v>
      </c>
      <c r="G15" s="18" t="s">
        <v>278</v>
      </c>
      <c r="H15" s="18" t="s">
        <v>279</v>
      </c>
      <c r="I15" s="24"/>
      <c r="J15" s="24"/>
      <c r="K15" s="24"/>
    </row>
    <row r="16" spans="1:11" ht="24" customHeight="1">
      <c r="B16" s="18" t="s">
        <v>292</v>
      </c>
      <c r="C16" s="18" t="s">
        <v>70</v>
      </c>
      <c r="D16" s="18" t="s">
        <v>283</v>
      </c>
      <c r="E16" s="18">
        <v>12</v>
      </c>
      <c r="F16" s="18">
        <v>10</v>
      </c>
      <c r="G16" s="18" t="s">
        <v>278</v>
      </c>
      <c r="H16" s="18" t="s">
        <v>279</v>
      </c>
      <c r="I16" s="24"/>
      <c r="J16" s="24"/>
      <c r="K16" s="24"/>
    </row>
    <row r="17" spans="2:11" ht="24" customHeight="1">
      <c r="B17" s="18" t="s">
        <v>293</v>
      </c>
      <c r="C17" s="18" t="s">
        <v>71</v>
      </c>
      <c r="D17" s="18" t="s">
        <v>285</v>
      </c>
      <c r="E17" s="18">
        <v>12</v>
      </c>
      <c r="F17" s="18">
        <v>4</v>
      </c>
      <c r="G17" s="18" t="s">
        <v>278</v>
      </c>
      <c r="H17" s="18" t="s">
        <v>279</v>
      </c>
      <c r="I17" s="24"/>
      <c r="J17" s="24"/>
      <c r="K17" s="24"/>
    </row>
    <row r="18" spans="2:11" ht="24" customHeight="1">
      <c r="B18" s="18" t="s">
        <v>294</v>
      </c>
      <c r="C18" s="18" t="s">
        <v>72</v>
      </c>
      <c r="D18" s="18" t="s">
        <v>277</v>
      </c>
      <c r="E18" s="18">
        <v>23</v>
      </c>
      <c r="F18" s="18">
        <v>10</v>
      </c>
      <c r="G18" s="18" t="s">
        <v>278</v>
      </c>
      <c r="H18" s="18" t="s">
        <v>279</v>
      </c>
      <c r="I18" s="24"/>
      <c r="J18" s="24"/>
      <c r="K18" s="24"/>
    </row>
    <row r="19" spans="2:11" ht="24" customHeight="1">
      <c r="B19" s="18" t="s">
        <v>295</v>
      </c>
      <c r="C19" s="18" t="s">
        <v>73</v>
      </c>
      <c r="D19" s="18" t="s">
        <v>281</v>
      </c>
      <c r="E19" s="18">
        <v>18</v>
      </c>
      <c r="F19" s="18">
        <v>10</v>
      </c>
      <c r="G19" s="18" t="s">
        <v>278</v>
      </c>
      <c r="H19" s="18" t="s">
        <v>279</v>
      </c>
      <c r="I19" s="24"/>
      <c r="J19" s="24"/>
      <c r="K19" s="24"/>
    </row>
    <row r="20" spans="2:11" ht="24" customHeight="1">
      <c r="B20" s="18" t="s">
        <v>296</v>
      </c>
      <c r="C20" s="18" t="s">
        <v>74</v>
      </c>
      <c r="D20" s="18" t="s">
        <v>283</v>
      </c>
      <c r="E20" s="18">
        <v>33</v>
      </c>
      <c r="F20" s="18">
        <v>20</v>
      </c>
      <c r="G20" s="18" t="s">
        <v>278</v>
      </c>
      <c r="H20" s="18" t="s">
        <v>279</v>
      </c>
      <c r="I20" s="24"/>
      <c r="J20" s="24"/>
      <c r="K20" s="24"/>
    </row>
    <row r="21" spans="2:11" ht="24" customHeight="1">
      <c r="B21" s="18" t="s">
        <v>297</v>
      </c>
      <c r="C21" s="18" t="s">
        <v>75</v>
      </c>
      <c r="D21" s="18" t="s">
        <v>285</v>
      </c>
      <c r="E21" s="18">
        <v>40</v>
      </c>
      <c r="F21" s="18">
        <v>28</v>
      </c>
      <c r="G21" s="18" t="s">
        <v>278</v>
      </c>
      <c r="H21" s="18" t="s">
        <v>279</v>
      </c>
      <c r="I21" s="24"/>
      <c r="J21" s="24"/>
      <c r="K21" s="24"/>
    </row>
    <row r="22" spans="2:11" ht="24" customHeight="1">
      <c r="B22" s="18" t="s">
        <v>298</v>
      </c>
      <c r="C22" s="18" t="s">
        <v>76</v>
      </c>
      <c r="D22" s="18" t="s">
        <v>277</v>
      </c>
      <c r="E22" s="18">
        <v>34</v>
      </c>
      <c r="F22" s="18">
        <v>27</v>
      </c>
      <c r="G22" s="18" t="s">
        <v>278</v>
      </c>
      <c r="H22" s="18" t="s">
        <v>279</v>
      </c>
      <c r="I22" s="24"/>
      <c r="J22" s="24"/>
      <c r="K22" s="24"/>
    </row>
    <row r="23" spans="2:11" ht="24" customHeight="1">
      <c r="B23" s="18" t="s">
        <v>299</v>
      </c>
      <c r="C23" s="18" t="s">
        <v>77</v>
      </c>
      <c r="D23" s="18" t="s">
        <v>281</v>
      </c>
      <c r="E23" s="18">
        <v>32</v>
      </c>
      <c r="F23" s="18">
        <v>11</v>
      </c>
      <c r="G23" s="18" t="s">
        <v>278</v>
      </c>
      <c r="H23" s="18" t="s">
        <v>279</v>
      </c>
      <c r="I23" s="24"/>
      <c r="J23" s="24"/>
      <c r="K23" s="24"/>
    </row>
    <row r="24" spans="2:11" ht="24" customHeight="1">
      <c r="B24" s="18" t="s">
        <v>300</v>
      </c>
      <c r="C24" s="18" t="s">
        <v>78</v>
      </c>
      <c r="D24" s="18" t="s">
        <v>283</v>
      </c>
      <c r="E24" s="18">
        <v>14</v>
      </c>
      <c r="F24" s="18">
        <v>6</v>
      </c>
      <c r="G24" s="18" t="s">
        <v>278</v>
      </c>
      <c r="H24" s="18" t="s">
        <v>279</v>
      </c>
      <c r="I24" s="24"/>
      <c r="J24" s="24"/>
      <c r="K24" s="24"/>
    </row>
    <row r="25" spans="2:11" ht="24" customHeight="1">
      <c r="B25" s="18" t="s">
        <v>301</v>
      </c>
      <c r="C25" s="18" t="s">
        <v>79</v>
      </c>
      <c r="D25" s="18" t="s">
        <v>285</v>
      </c>
      <c r="E25" s="18">
        <v>31</v>
      </c>
      <c r="F25" s="18">
        <v>16</v>
      </c>
      <c r="G25" s="18" t="s">
        <v>278</v>
      </c>
      <c r="H25" s="18" t="s">
        <v>279</v>
      </c>
      <c r="I25" s="24"/>
      <c r="J25" s="24"/>
      <c r="K25" s="24"/>
    </row>
    <row r="26" spans="2:11" ht="24" customHeight="1">
      <c r="B26" s="18" t="s">
        <v>302</v>
      </c>
      <c r="C26" s="18" t="s">
        <v>80</v>
      </c>
      <c r="D26" s="18" t="s">
        <v>277</v>
      </c>
      <c r="E26" s="18">
        <v>15</v>
      </c>
      <c r="F26" s="18">
        <v>9</v>
      </c>
      <c r="G26" s="18" t="s">
        <v>278</v>
      </c>
      <c r="H26" s="18" t="s">
        <v>279</v>
      </c>
      <c r="I26" s="24"/>
      <c r="J26" s="24"/>
      <c r="K26" s="24"/>
    </row>
    <row r="27" spans="2:11" ht="26.45" customHeight="1">
      <c r="B27" s="24" t="s">
        <v>303</v>
      </c>
      <c r="C27" s="24" t="s">
        <v>81</v>
      </c>
      <c r="D27" s="24" t="s">
        <v>281</v>
      </c>
      <c r="E27" s="24">
        <v>12</v>
      </c>
      <c r="F27" s="24">
        <v>9</v>
      </c>
      <c r="G27" s="24" t="s">
        <v>278</v>
      </c>
      <c r="H27" s="24" t="s">
        <v>279</v>
      </c>
      <c r="I27" s="24"/>
      <c r="J27" s="24"/>
      <c r="K27" s="24"/>
    </row>
    <row r="28" spans="2:11" ht="26.45" customHeight="1">
      <c r="B28" s="26" t="s">
        <v>304</v>
      </c>
      <c r="C28" s="26" t="s">
        <v>82</v>
      </c>
      <c r="D28" s="24" t="s">
        <v>283</v>
      </c>
      <c r="E28" s="24">
        <v>21</v>
      </c>
      <c r="F28" s="24">
        <v>17</v>
      </c>
      <c r="G28" s="24" t="s">
        <v>278</v>
      </c>
      <c r="H28" s="24" t="s">
        <v>279</v>
      </c>
      <c r="I28" s="24"/>
      <c r="J28" s="24"/>
      <c r="K28" s="24"/>
    </row>
    <row r="29" spans="2:11" ht="26.45" customHeight="1">
      <c r="B29" s="26" t="s">
        <v>305</v>
      </c>
      <c r="C29" s="26" t="s">
        <v>83</v>
      </c>
      <c r="D29" s="24" t="s">
        <v>285</v>
      </c>
      <c r="E29" s="24">
        <v>34</v>
      </c>
      <c r="F29" s="24">
        <v>12</v>
      </c>
      <c r="G29" s="24" t="s">
        <v>278</v>
      </c>
      <c r="H29" s="24" t="s">
        <v>279</v>
      </c>
      <c r="I29" s="24"/>
      <c r="J29" s="24"/>
      <c r="K29" s="24"/>
    </row>
    <row r="30" spans="2:11" ht="26.45" customHeight="1">
      <c r="B30" s="26" t="s">
        <v>306</v>
      </c>
      <c r="C30" s="26" t="s">
        <v>84</v>
      </c>
      <c r="D30" s="24" t="s">
        <v>277</v>
      </c>
      <c r="E30" s="24">
        <v>19</v>
      </c>
      <c r="F30" s="24">
        <v>8</v>
      </c>
      <c r="G30" s="24" t="s">
        <v>278</v>
      </c>
      <c r="H30" s="24" t="s">
        <v>279</v>
      </c>
      <c r="I30" s="24"/>
      <c r="J30" s="24"/>
      <c r="K30" s="24"/>
    </row>
    <row r="31" spans="2:11" ht="26.45" customHeight="1">
      <c r="B31" s="26" t="s">
        <v>307</v>
      </c>
      <c r="C31" s="26" t="s">
        <v>85</v>
      </c>
      <c r="D31" s="24" t="s">
        <v>281</v>
      </c>
      <c r="E31" s="24">
        <v>12</v>
      </c>
      <c r="F31" s="24">
        <v>6</v>
      </c>
      <c r="G31" s="24" t="s">
        <v>278</v>
      </c>
      <c r="H31" s="24" t="s">
        <v>279</v>
      </c>
      <c r="I31" s="24"/>
      <c r="J31" s="24"/>
      <c r="K31" s="24"/>
    </row>
    <row r="32" spans="2:11" ht="26.45" customHeight="1">
      <c r="B32" s="24" t="s">
        <v>308</v>
      </c>
      <c r="C32" s="24" t="s">
        <v>86</v>
      </c>
      <c r="D32" s="24" t="s">
        <v>283</v>
      </c>
      <c r="E32" s="24">
        <v>51</v>
      </c>
      <c r="F32" s="24">
        <v>32</v>
      </c>
      <c r="G32" s="24" t="s">
        <v>278</v>
      </c>
      <c r="H32" s="24" t="s">
        <v>279</v>
      </c>
      <c r="I32" s="24"/>
      <c r="J32" s="24"/>
      <c r="K32" s="24"/>
    </row>
    <row r="33" spans="2:11" ht="26.45" customHeight="1">
      <c r="B33" s="24" t="s">
        <v>309</v>
      </c>
      <c r="C33" s="24" t="s">
        <v>87</v>
      </c>
      <c r="D33" s="24" t="s">
        <v>285</v>
      </c>
      <c r="E33" s="24">
        <v>35</v>
      </c>
      <c r="F33" s="24">
        <v>25</v>
      </c>
      <c r="G33" s="24" t="s">
        <v>278</v>
      </c>
      <c r="H33" s="24" t="s">
        <v>279</v>
      </c>
      <c r="I33" s="24"/>
      <c r="J33" s="24"/>
      <c r="K33" s="24"/>
    </row>
    <row r="34" spans="2:11" ht="26.45" customHeight="1">
      <c r="B34" s="24" t="s">
        <v>310</v>
      </c>
      <c r="C34" s="24" t="s">
        <v>88</v>
      </c>
      <c r="D34" s="24" t="s">
        <v>277</v>
      </c>
      <c r="E34" s="24">
        <v>103</v>
      </c>
      <c r="F34" s="24">
        <v>82</v>
      </c>
      <c r="G34" s="24" t="s">
        <v>278</v>
      </c>
      <c r="H34" s="24" t="s">
        <v>279</v>
      </c>
      <c r="I34" s="24"/>
      <c r="J34" s="24"/>
      <c r="K34" s="24"/>
    </row>
    <row r="35" spans="2:11" ht="26.45" customHeight="1">
      <c r="B35" s="24" t="s">
        <v>311</v>
      </c>
      <c r="C35" s="24" t="s">
        <v>89</v>
      </c>
      <c r="D35" s="24" t="s">
        <v>281</v>
      </c>
      <c r="E35" s="24">
        <v>26</v>
      </c>
      <c r="F35" s="24">
        <v>9</v>
      </c>
      <c r="G35" s="24" t="s">
        <v>278</v>
      </c>
      <c r="H35" s="24" t="s">
        <v>279</v>
      </c>
      <c r="I35" s="24"/>
      <c r="J35" s="24"/>
      <c r="K35" s="24"/>
    </row>
    <row r="36" spans="2:11" ht="26.45" customHeight="1">
      <c r="B36" s="24" t="s">
        <v>312</v>
      </c>
      <c r="C36" s="24" t="s">
        <v>90</v>
      </c>
      <c r="D36" s="24" t="s">
        <v>283</v>
      </c>
      <c r="E36" s="24">
        <v>12</v>
      </c>
      <c r="F36" s="24">
        <v>5</v>
      </c>
      <c r="G36" s="24" t="s">
        <v>278</v>
      </c>
      <c r="H36" s="24" t="s">
        <v>279</v>
      </c>
      <c r="I36" s="24"/>
      <c r="J36" s="24"/>
      <c r="K36" s="24"/>
    </row>
    <row r="37" spans="2:11" ht="26.45" customHeight="1">
      <c r="B37" s="24" t="s">
        <v>313</v>
      </c>
      <c r="C37" s="24" t="s">
        <v>91</v>
      </c>
      <c r="D37" s="24" t="s">
        <v>285</v>
      </c>
      <c r="E37" s="24">
        <v>59</v>
      </c>
      <c r="F37" s="24">
        <v>31</v>
      </c>
      <c r="G37" s="24" t="s">
        <v>278</v>
      </c>
      <c r="H37" s="24" t="s">
        <v>279</v>
      </c>
      <c r="I37" s="24"/>
      <c r="J37" s="24"/>
      <c r="K37" s="24"/>
    </row>
    <row r="38" spans="2:11" ht="26.45" customHeight="1">
      <c r="B38" s="24" t="s">
        <v>314</v>
      </c>
      <c r="C38" s="24" t="s">
        <v>92</v>
      </c>
      <c r="D38" s="24" t="s">
        <v>277</v>
      </c>
      <c r="E38" s="24">
        <v>26</v>
      </c>
      <c r="F38" s="24">
        <v>16</v>
      </c>
      <c r="G38" s="24" t="s">
        <v>278</v>
      </c>
      <c r="H38" s="24" t="s">
        <v>279</v>
      </c>
      <c r="I38" s="24"/>
      <c r="J38" s="24"/>
      <c r="K38" s="24"/>
    </row>
    <row r="39" spans="2:11" ht="26.45" customHeight="1">
      <c r="B39" s="24" t="s">
        <v>315</v>
      </c>
      <c r="C39" s="24" t="s">
        <v>93</v>
      </c>
      <c r="D39" s="24" t="s">
        <v>281</v>
      </c>
      <c r="E39" s="24">
        <v>14</v>
      </c>
      <c r="F39" s="24">
        <v>10</v>
      </c>
      <c r="G39" s="24" t="s">
        <v>278</v>
      </c>
      <c r="H39" s="24" t="s">
        <v>279</v>
      </c>
      <c r="I39" s="24"/>
      <c r="J39" s="24"/>
      <c r="K39" s="24"/>
    </row>
    <row r="40" spans="2:11" ht="15" customHeight="1"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2:11" ht="15" customHeight="1">
      <c r="B41" s="24" t="s">
        <v>316</v>
      </c>
      <c r="C41" s="24">
        <f>COUNTA(B6:B39)</f>
        <v>34</v>
      </c>
      <c r="D41" s="24"/>
      <c r="E41" s="24"/>
      <c r="F41" s="24"/>
      <c r="G41" s="24"/>
      <c r="H41" s="24"/>
      <c r="I41" s="24"/>
      <c r="J41" s="24"/>
      <c r="K41" s="24"/>
    </row>
    <row r="42" spans="2:11" ht="15" customHeight="1">
      <c r="B42" s="24" t="s">
        <v>317</v>
      </c>
      <c r="C42" s="24">
        <f>COUNTIF(D6:D39,"Formalized")</f>
        <v>8</v>
      </c>
      <c r="D42" s="24"/>
      <c r="E42" s="24"/>
      <c r="F42" s="24"/>
      <c r="G42" s="24"/>
      <c r="H42" s="24"/>
      <c r="I42" s="24"/>
      <c r="J42" s="24"/>
      <c r="K42" s="24"/>
    </row>
    <row r="43" spans="2:11" ht="15" customHeight="1">
      <c r="B43" s="24" t="s">
        <v>318</v>
      </c>
      <c r="C43" s="24">
        <f>SUM(E6:E39)</f>
        <v>1035</v>
      </c>
      <c r="D43" s="24"/>
      <c r="E43" s="24"/>
      <c r="F43" s="24"/>
      <c r="G43" s="24"/>
      <c r="H43" s="24"/>
      <c r="I43" s="24"/>
      <c r="J43" s="24"/>
      <c r="K43" s="24"/>
    </row>
    <row r="44" spans="2:11" ht="15" customHeight="1">
      <c r="B44" s="24" t="s">
        <v>319</v>
      </c>
      <c r="C44" s="24">
        <f>SUM(F6:F39)</f>
        <v>598</v>
      </c>
      <c r="D44" s="24"/>
      <c r="E44" s="24"/>
      <c r="F44" s="24"/>
      <c r="G44" s="24"/>
      <c r="H44" s="24"/>
      <c r="I44" s="24"/>
      <c r="J44" s="24"/>
      <c r="K44" s="24"/>
    </row>
    <row r="45" spans="2:11" ht="15" customHeight="1"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2:11" ht="15" customHeight="1">
      <c r="B46" s="24"/>
      <c r="C46" s="24"/>
      <c r="D46" s="24"/>
      <c r="E46" s="24"/>
      <c r="F46" s="24"/>
      <c r="G46" s="24"/>
      <c r="H46" s="24"/>
      <c r="I46" s="24"/>
      <c r="J46" s="24"/>
      <c r="K46" s="24"/>
    </row>
  </sheetData>
  <mergeCells count="2">
    <mergeCell ref="A2:G2"/>
    <mergeCell ref="B3:H3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46"/>
  <sheetViews>
    <sheetView showGridLines="0" workbookViewId="0"/>
  </sheetViews>
  <sheetFormatPr defaultColWidth="8.7109375" defaultRowHeight="15"/>
  <cols>
    <col min="1" max="1" width="3" customWidth="1"/>
    <col min="2" max="2" width="32" customWidth="1"/>
    <col min="3" max="3" width="18" customWidth="1"/>
    <col min="4" max="4" width="20" customWidth="1"/>
    <col min="5" max="5" width="14" customWidth="1"/>
    <col min="6" max="6" width="24" customWidth="1"/>
    <col min="7" max="7" width="20" customWidth="1"/>
    <col min="8" max="8" width="18" customWidth="1"/>
    <col min="9" max="9" width="36" customWidth="1"/>
  </cols>
  <sheetData>
    <row r="2" spans="1:11" ht="25.5" customHeight="1">
      <c r="A2" s="5" t="s">
        <v>320</v>
      </c>
      <c r="B2" s="5"/>
      <c r="C2" s="5"/>
      <c r="D2" s="5"/>
      <c r="E2" s="5"/>
      <c r="F2" s="5"/>
      <c r="G2" s="5"/>
      <c r="H2" s="5"/>
    </row>
    <row r="3" spans="1:11">
      <c r="B3" s="29" t="s">
        <v>321</v>
      </c>
      <c r="C3" s="29"/>
      <c r="D3" s="29"/>
      <c r="E3" s="29"/>
      <c r="F3" s="29"/>
      <c r="G3" s="29"/>
      <c r="H3" s="29"/>
      <c r="I3" s="29"/>
    </row>
    <row r="5" spans="1:11" ht="24" customHeight="1">
      <c r="B5" s="7" t="s">
        <v>322</v>
      </c>
      <c r="C5" s="7" t="s">
        <v>50</v>
      </c>
      <c r="D5" s="7" t="s">
        <v>323</v>
      </c>
      <c r="E5" s="7" t="s">
        <v>324</v>
      </c>
      <c r="F5" s="7" t="s">
        <v>325</v>
      </c>
      <c r="G5" s="7" t="s">
        <v>326</v>
      </c>
      <c r="H5" s="7" t="s">
        <v>327</v>
      </c>
      <c r="I5" s="7" t="s">
        <v>103</v>
      </c>
      <c r="J5" s="24"/>
      <c r="K5" s="24"/>
    </row>
    <row r="6" spans="1:11" ht="24" customHeight="1">
      <c r="B6" s="17" t="s">
        <v>276</v>
      </c>
      <c r="C6" s="17" t="s">
        <v>60</v>
      </c>
      <c r="D6" s="17" t="s">
        <v>328</v>
      </c>
      <c r="E6" s="22">
        <v>46028</v>
      </c>
      <c r="F6" s="17" t="s">
        <v>329</v>
      </c>
      <c r="G6" s="17" t="s">
        <v>193</v>
      </c>
      <c r="H6" s="17">
        <v>481</v>
      </c>
      <c r="I6" s="17" t="s">
        <v>330</v>
      </c>
      <c r="J6" s="24"/>
      <c r="K6" s="24"/>
    </row>
    <row r="7" spans="1:11" ht="24" customHeight="1">
      <c r="B7" s="18" t="s">
        <v>280</v>
      </c>
      <c r="C7" s="18" t="s">
        <v>61</v>
      </c>
      <c r="D7" s="18" t="s">
        <v>331</v>
      </c>
      <c r="E7" s="23">
        <v>46060</v>
      </c>
      <c r="F7" s="18" t="s">
        <v>332</v>
      </c>
      <c r="G7" s="18" t="s">
        <v>193</v>
      </c>
      <c r="H7" s="18">
        <v>101</v>
      </c>
      <c r="I7" s="18" t="s">
        <v>330</v>
      </c>
      <c r="J7" s="24"/>
      <c r="K7" s="24"/>
    </row>
    <row r="8" spans="1:11" ht="24" customHeight="1">
      <c r="B8" s="18" t="s">
        <v>282</v>
      </c>
      <c r="C8" s="18" t="s">
        <v>62</v>
      </c>
      <c r="D8" s="18" t="s">
        <v>333</v>
      </c>
      <c r="E8" s="23">
        <v>46089</v>
      </c>
      <c r="F8" s="18" t="s">
        <v>332</v>
      </c>
      <c r="G8" s="18" t="s">
        <v>194</v>
      </c>
      <c r="H8" s="18">
        <v>0</v>
      </c>
      <c r="I8" s="18" t="s">
        <v>330</v>
      </c>
      <c r="J8" s="24"/>
      <c r="K8" s="24"/>
    </row>
    <row r="9" spans="1:11" ht="24" customHeight="1">
      <c r="B9" s="18" t="s">
        <v>284</v>
      </c>
      <c r="C9" s="18" t="s">
        <v>63</v>
      </c>
      <c r="D9" s="18" t="s">
        <v>334</v>
      </c>
      <c r="E9" s="23">
        <v>46121</v>
      </c>
      <c r="F9" s="18" t="s">
        <v>332</v>
      </c>
      <c r="G9" s="18" t="s">
        <v>193</v>
      </c>
      <c r="H9" s="18">
        <v>70</v>
      </c>
      <c r="I9" s="18" t="s">
        <v>330</v>
      </c>
      <c r="J9" s="24"/>
      <c r="K9" s="24"/>
    </row>
    <row r="10" spans="1:11" ht="24" customHeight="1">
      <c r="B10" s="18" t="s">
        <v>286</v>
      </c>
      <c r="C10" s="18" t="s">
        <v>64</v>
      </c>
      <c r="D10" s="18" t="s">
        <v>328</v>
      </c>
      <c r="E10" s="23">
        <v>46152</v>
      </c>
      <c r="F10" s="18" t="s">
        <v>329</v>
      </c>
      <c r="G10" s="18" t="s">
        <v>193</v>
      </c>
      <c r="H10" s="18">
        <v>143</v>
      </c>
      <c r="I10" s="18" t="s">
        <v>330</v>
      </c>
      <c r="J10" s="24"/>
      <c r="K10" s="24"/>
    </row>
    <row r="11" spans="1:11" ht="24" customHeight="1">
      <c r="B11" s="18" t="s">
        <v>287</v>
      </c>
      <c r="C11" s="18" t="s">
        <v>65</v>
      </c>
      <c r="D11" s="18" t="s">
        <v>331</v>
      </c>
      <c r="E11" s="23">
        <v>46184</v>
      </c>
      <c r="F11" s="18" t="s">
        <v>329</v>
      </c>
      <c r="G11" s="18" t="s">
        <v>194</v>
      </c>
      <c r="H11" s="18">
        <v>0</v>
      </c>
      <c r="I11" s="18" t="s">
        <v>330</v>
      </c>
      <c r="J11" s="24"/>
      <c r="K11" s="24"/>
    </row>
    <row r="12" spans="1:11" ht="24" customHeight="1">
      <c r="B12" s="18" t="s">
        <v>288</v>
      </c>
      <c r="C12" s="18" t="s">
        <v>66</v>
      </c>
      <c r="D12" s="18" t="s">
        <v>333</v>
      </c>
      <c r="E12" s="23">
        <v>46034</v>
      </c>
      <c r="F12" s="18" t="s">
        <v>332</v>
      </c>
      <c r="G12" s="18" t="s">
        <v>193</v>
      </c>
      <c r="H12" s="18">
        <v>192</v>
      </c>
      <c r="I12" s="18" t="s">
        <v>330</v>
      </c>
      <c r="J12" s="24"/>
      <c r="K12" s="24"/>
    </row>
    <row r="13" spans="1:11" ht="24" customHeight="1">
      <c r="B13" s="18" t="s">
        <v>289</v>
      </c>
      <c r="C13" s="18" t="s">
        <v>67</v>
      </c>
      <c r="D13" s="18" t="s">
        <v>334</v>
      </c>
      <c r="E13" s="23">
        <v>46066</v>
      </c>
      <c r="F13" s="18" t="s">
        <v>332</v>
      </c>
      <c r="G13" s="18" t="s">
        <v>193</v>
      </c>
      <c r="H13" s="18">
        <v>44</v>
      </c>
      <c r="I13" s="18" t="s">
        <v>330</v>
      </c>
      <c r="J13" s="24"/>
      <c r="K13" s="24"/>
    </row>
    <row r="14" spans="1:11" ht="24" customHeight="1">
      <c r="B14" s="18" t="s">
        <v>290</v>
      </c>
      <c r="C14" s="18" t="s">
        <v>68</v>
      </c>
      <c r="D14" s="18" t="s">
        <v>328</v>
      </c>
      <c r="E14" s="23">
        <v>46095</v>
      </c>
      <c r="F14" s="18" t="s">
        <v>332</v>
      </c>
      <c r="G14" s="18" t="s">
        <v>194</v>
      </c>
      <c r="H14" s="18">
        <v>0</v>
      </c>
      <c r="I14" s="18" t="s">
        <v>330</v>
      </c>
      <c r="J14" s="24"/>
      <c r="K14" s="24"/>
    </row>
    <row r="15" spans="1:11" ht="24" customHeight="1">
      <c r="B15" s="18" t="s">
        <v>291</v>
      </c>
      <c r="C15" s="18" t="s">
        <v>69</v>
      </c>
      <c r="D15" s="18" t="s">
        <v>331</v>
      </c>
      <c r="E15" s="23">
        <v>46127</v>
      </c>
      <c r="F15" s="18" t="s">
        <v>329</v>
      </c>
      <c r="G15" s="18" t="s">
        <v>193</v>
      </c>
      <c r="H15" s="18">
        <v>142</v>
      </c>
      <c r="I15" s="18" t="s">
        <v>330</v>
      </c>
      <c r="J15" s="24"/>
      <c r="K15" s="24"/>
    </row>
    <row r="16" spans="1:11" ht="24" customHeight="1">
      <c r="B16" s="18" t="s">
        <v>292</v>
      </c>
      <c r="C16" s="18" t="s">
        <v>70</v>
      </c>
      <c r="D16" s="18" t="s">
        <v>333</v>
      </c>
      <c r="E16" s="23">
        <v>46158</v>
      </c>
      <c r="F16" s="18" t="s">
        <v>329</v>
      </c>
      <c r="G16" s="18" t="s">
        <v>193</v>
      </c>
      <c r="H16" s="18">
        <v>15</v>
      </c>
      <c r="I16" s="18" t="s">
        <v>330</v>
      </c>
      <c r="J16" s="24"/>
      <c r="K16" s="24"/>
    </row>
    <row r="17" spans="2:11" ht="24" customHeight="1">
      <c r="B17" s="18" t="s">
        <v>293</v>
      </c>
      <c r="C17" s="18" t="s">
        <v>71</v>
      </c>
      <c r="D17" s="18" t="s">
        <v>334</v>
      </c>
      <c r="E17" s="23">
        <v>46190</v>
      </c>
      <c r="F17" s="18" t="s">
        <v>332</v>
      </c>
      <c r="G17" s="18" t="s">
        <v>194</v>
      </c>
      <c r="H17" s="18">
        <v>0</v>
      </c>
      <c r="I17" s="18" t="s">
        <v>330</v>
      </c>
      <c r="J17" s="24"/>
      <c r="K17" s="24"/>
    </row>
    <row r="18" spans="2:11" ht="24" customHeight="1">
      <c r="B18" s="18" t="s">
        <v>294</v>
      </c>
      <c r="C18" s="18" t="s">
        <v>72</v>
      </c>
      <c r="D18" s="18" t="s">
        <v>328</v>
      </c>
      <c r="E18" s="23">
        <v>46040</v>
      </c>
      <c r="F18" s="18" t="s">
        <v>332</v>
      </c>
      <c r="G18" s="18" t="s">
        <v>193</v>
      </c>
      <c r="H18" s="18">
        <v>92</v>
      </c>
      <c r="I18" s="18" t="s">
        <v>330</v>
      </c>
      <c r="J18" s="24"/>
      <c r="K18" s="24"/>
    </row>
    <row r="19" spans="2:11" ht="24" customHeight="1">
      <c r="B19" s="18" t="s">
        <v>295</v>
      </c>
      <c r="C19" s="18" t="s">
        <v>73</v>
      </c>
      <c r="D19" s="18" t="s">
        <v>331</v>
      </c>
      <c r="E19" s="23">
        <v>46072</v>
      </c>
      <c r="F19" s="18" t="s">
        <v>332</v>
      </c>
      <c r="G19" s="18" t="s">
        <v>193</v>
      </c>
      <c r="H19" s="18">
        <v>81</v>
      </c>
      <c r="I19" s="18" t="s">
        <v>330</v>
      </c>
      <c r="J19" s="24"/>
      <c r="K19" s="24"/>
    </row>
    <row r="20" spans="2:11" ht="24" customHeight="1">
      <c r="B20" s="18" t="s">
        <v>296</v>
      </c>
      <c r="C20" s="18" t="s">
        <v>74</v>
      </c>
      <c r="D20" s="18" t="s">
        <v>333</v>
      </c>
      <c r="E20" s="23">
        <v>46101</v>
      </c>
      <c r="F20" s="18" t="s">
        <v>329</v>
      </c>
      <c r="G20" s="18" t="s">
        <v>194</v>
      </c>
      <c r="H20" s="18">
        <v>0</v>
      </c>
      <c r="I20" s="18" t="s">
        <v>330</v>
      </c>
      <c r="J20" s="24"/>
      <c r="K20" s="24"/>
    </row>
    <row r="21" spans="2:11" ht="24" customHeight="1">
      <c r="B21" s="18" t="s">
        <v>297</v>
      </c>
      <c r="C21" s="18" t="s">
        <v>75</v>
      </c>
      <c r="D21" s="18" t="s">
        <v>334</v>
      </c>
      <c r="E21" s="23">
        <v>46133</v>
      </c>
      <c r="F21" s="18" t="s">
        <v>329</v>
      </c>
      <c r="G21" s="18" t="s">
        <v>193</v>
      </c>
      <c r="H21" s="18">
        <v>183</v>
      </c>
      <c r="I21" s="18" t="s">
        <v>330</v>
      </c>
      <c r="J21" s="24"/>
      <c r="K21" s="24"/>
    </row>
    <row r="22" spans="2:11" ht="24" customHeight="1">
      <c r="B22" s="18" t="s">
        <v>298</v>
      </c>
      <c r="C22" s="18" t="s">
        <v>76</v>
      </c>
      <c r="D22" s="18" t="s">
        <v>328</v>
      </c>
      <c r="E22" s="23">
        <v>46164</v>
      </c>
      <c r="F22" s="18" t="s">
        <v>332</v>
      </c>
      <c r="G22" s="18" t="s">
        <v>193</v>
      </c>
      <c r="H22" s="18">
        <v>153</v>
      </c>
      <c r="I22" s="18" t="s">
        <v>330</v>
      </c>
      <c r="J22" s="24"/>
      <c r="K22" s="24"/>
    </row>
    <row r="23" spans="2:11" ht="24" customHeight="1">
      <c r="B23" s="18" t="s">
        <v>299</v>
      </c>
      <c r="C23" s="18" t="s">
        <v>77</v>
      </c>
      <c r="D23" s="18" t="s">
        <v>331</v>
      </c>
      <c r="E23" s="23">
        <v>46196</v>
      </c>
      <c r="F23" s="18" t="s">
        <v>332</v>
      </c>
      <c r="G23" s="18" t="s">
        <v>194</v>
      </c>
      <c r="H23" s="18">
        <v>0</v>
      </c>
      <c r="I23" s="18" t="s">
        <v>330</v>
      </c>
      <c r="J23" s="24"/>
      <c r="K23" s="24"/>
    </row>
    <row r="24" spans="2:11" ht="24" customHeight="1">
      <c r="B24" s="18" t="s">
        <v>300</v>
      </c>
      <c r="C24" s="18" t="s">
        <v>78</v>
      </c>
      <c r="D24" s="18" t="s">
        <v>333</v>
      </c>
      <c r="E24" s="23">
        <v>46046</v>
      </c>
      <c r="F24" s="18" t="s">
        <v>332</v>
      </c>
      <c r="G24" s="18" t="s">
        <v>193</v>
      </c>
      <c r="H24" s="18">
        <v>66</v>
      </c>
      <c r="I24" s="18" t="s">
        <v>330</v>
      </c>
      <c r="J24" s="24"/>
      <c r="K24" s="24"/>
    </row>
    <row r="25" spans="2:11" ht="24" customHeight="1">
      <c r="B25" s="18" t="s">
        <v>301</v>
      </c>
      <c r="C25" s="18" t="s">
        <v>79</v>
      </c>
      <c r="D25" s="18" t="s">
        <v>334</v>
      </c>
      <c r="E25" s="23">
        <v>46058</v>
      </c>
      <c r="F25" s="18" t="s">
        <v>329</v>
      </c>
      <c r="G25" s="18" t="s">
        <v>193</v>
      </c>
      <c r="H25" s="18">
        <v>135</v>
      </c>
      <c r="I25" s="18" t="s">
        <v>330</v>
      </c>
      <c r="J25" s="24"/>
      <c r="K25" s="24"/>
    </row>
    <row r="26" spans="2:11" ht="24" customHeight="1">
      <c r="B26" s="18" t="s">
        <v>302</v>
      </c>
      <c r="C26" s="18" t="s">
        <v>80</v>
      </c>
      <c r="D26" s="18" t="s">
        <v>328</v>
      </c>
      <c r="E26" s="23">
        <v>46087</v>
      </c>
      <c r="F26" s="18" t="s">
        <v>329</v>
      </c>
      <c r="G26" s="18" t="s">
        <v>194</v>
      </c>
      <c r="H26" s="18">
        <v>0</v>
      </c>
      <c r="I26" s="18" t="s">
        <v>330</v>
      </c>
      <c r="J26" s="24"/>
      <c r="K26" s="24"/>
    </row>
    <row r="27" spans="2:11" ht="26.45" customHeight="1">
      <c r="B27" s="24" t="s">
        <v>303</v>
      </c>
      <c r="C27" s="24" t="s">
        <v>81</v>
      </c>
      <c r="D27" s="24" t="s">
        <v>331</v>
      </c>
      <c r="E27" s="25">
        <v>46119</v>
      </c>
      <c r="F27" s="24" t="s">
        <v>332</v>
      </c>
      <c r="G27" s="24" t="s">
        <v>193</v>
      </c>
      <c r="H27" s="24">
        <v>39</v>
      </c>
      <c r="I27" s="24" t="s">
        <v>330</v>
      </c>
      <c r="J27" s="24"/>
      <c r="K27" s="24"/>
    </row>
    <row r="28" spans="2:11" ht="26.45" customHeight="1">
      <c r="B28" s="26" t="s">
        <v>304</v>
      </c>
      <c r="C28" s="26" t="s">
        <v>82</v>
      </c>
      <c r="D28" s="24" t="s">
        <v>333</v>
      </c>
      <c r="E28" s="25">
        <v>46150</v>
      </c>
      <c r="F28" s="24" t="s">
        <v>332</v>
      </c>
      <c r="G28" s="24" t="s">
        <v>193</v>
      </c>
      <c r="H28" s="24">
        <v>89</v>
      </c>
      <c r="I28" s="24" t="s">
        <v>330</v>
      </c>
      <c r="J28" s="24"/>
      <c r="K28" s="24"/>
    </row>
    <row r="29" spans="2:11" ht="26.45" customHeight="1">
      <c r="B29" s="26" t="s">
        <v>305</v>
      </c>
      <c r="C29" s="26" t="s">
        <v>83</v>
      </c>
      <c r="D29" s="24" t="s">
        <v>334</v>
      </c>
      <c r="E29" s="25">
        <v>46182</v>
      </c>
      <c r="F29" s="24" t="s">
        <v>332</v>
      </c>
      <c r="G29" s="24" t="s">
        <v>194</v>
      </c>
      <c r="H29" s="24">
        <v>0</v>
      </c>
      <c r="I29" s="24" t="s">
        <v>330</v>
      </c>
      <c r="J29" s="24"/>
      <c r="K29" s="24"/>
    </row>
    <row r="30" spans="2:11" ht="26.45" customHeight="1">
      <c r="B30" s="26" t="s">
        <v>306</v>
      </c>
      <c r="C30" s="26" t="s">
        <v>84</v>
      </c>
      <c r="D30" s="24" t="s">
        <v>328</v>
      </c>
      <c r="E30" s="25">
        <v>46032</v>
      </c>
      <c r="F30" s="24" t="s">
        <v>329</v>
      </c>
      <c r="G30" s="24" t="s">
        <v>193</v>
      </c>
      <c r="H30" s="24">
        <v>90</v>
      </c>
      <c r="I30" s="24" t="s">
        <v>330</v>
      </c>
      <c r="J30" s="24"/>
      <c r="K30" s="24"/>
    </row>
    <row r="31" spans="2:11" ht="26.45" customHeight="1">
      <c r="B31" s="24" t="s">
        <v>307</v>
      </c>
      <c r="C31" s="24" t="s">
        <v>85</v>
      </c>
      <c r="D31" s="24" t="s">
        <v>331</v>
      </c>
      <c r="E31" s="25">
        <v>46064</v>
      </c>
      <c r="F31" s="24" t="s">
        <v>329</v>
      </c>
      <c r="G31" s="24" t="s">
        <v>193</v>
      </c>
      <c r="H31" s="24">
        <v>39</v>
      </c>
      <c r="I31" s="24" t="s">
        <v>330</v>
      </c>
      <c r="J31" s="24"/>
      <c r="K31" s="24"/>
    </row>
    <row r="32" spans="2:11" ht="26.45" customHeight="1">
      <c r="B32" s="24" t="s">
        <v>308</v>
      </c>
      <c r="C32" s="24" t="s">
        <v>86</v>
      </c>
      <c r="D32" s="24" t="s">
        <v>333</v>
      </c>
      <c r="E32" s="25">
        <v>46093</v>
      </c>
      <c r="F32" s="24" t="s">
        <v>332</v>
      </c>
      <c r="G32" s="24" t="s">
        <v>194</v>
      </c>
      <c r="H32" s="24">
        <v>0</v>
      </c>
      <c r="I32" s="24" t="s">
        <v>330</v>
      </c>
      <c r="J32" s="24"/>
      <c r="K32" s="24"/>
    </row>
    <row r="33" spans="2:11" ht="26.45" customHeight="1">
      <c r="B33" s="24" t="s">
        <v>309</v>
      </c>
      <c r="C33" s="24" t="s">
        <v>87</v>
      </c>
      <c r="D33" s="24" t="s">
        <v>334</v>
      </c>
      <c r="E33" s="25">
        <v>46125</v>
      </c>
      <c r="F33" s="24" t="s">
        <v>332</v>
      </c>
      <c r="G33" s="24" t="s">
        <v>193</v>
      </c>
      <c r="H33" s="24">
        <v>164</v>
      </c>
      <c r="I33" s="24" t="s">
        <v>330</v>
      </c>
      <c r="J33" s="24"/>
      <c r="K33" s="24"/>
    </row>
    <row r="34" spans="2:11" ht="26.45" customHeight="1">
      <c r="B34" s="24" t="s">
        <v>310</v>
      </c>
      <c r="C34" s="24" t="s">
        <v>88</v>
      </c>
      <c r="D34" s="24" t="s">
        <v>328</v>
      </c>
      <c r="E34" s="25">
        <v>46156</v>
      </c>
      <c r="F34" s="24" t="s">
        <v>332</v>
      </c>
      <c r="G34" s="24" t="s">
        <v>193</v>
      </c>
      <c r="H34" s="24">
        <v>405</v>
      </c>
      <c r="I34" s="24" t="s">
        <v>330</v>
      </c>
      <c r="J34" s="24"/>
      <c r="K34" s="24"/>
    </row>
    <row r="35" spans="2:11" ht="26.45" customHeight="1">
      <c r="B35" s="24" t="s">
        <v>311</v>
      </c>
      <c r="C35" s="24" t="s">
        <v>89</v>
      </c>
      <c r="D35" s="24" t="s">
        <v>331</v>
      </c>
      <c r="E35" s="25">
        <v>46188</v>
      </c>
      <c r="F35" s="24" t="s">
        <v>329</v>
      </c>
      <c r="G35" s="24" t="s">
        <v>194</v>
      </c>
      <c r="H35" s="24">
        <v>0</v>
      </c>
      <c r="I35" s="24" t="s">
        <v>330</v>
      </c>
      <c r="J35" s="24"/>
      <c r="K35" s="24"/>
    </row>
    <row r="36" spans="2:11" ht="26.45" customHeight="1">
      <c r="B36" s="24" t="s">
        <v>312</v>
      </c>
      <c r="C36" s="24" t="s">
        <v>90</v>
      </c>
      <c r="D36" s="24" t="s">
        <v>333</v>
      </c>
      <c r="E36" s="25">
        <v>46038</v>
      </c>
      <c r="F36" s="24" t="s">
        <v>329</v>
      </c>
      <c r="G36" s="24" t="s">
        <v>193</v>
      </c>
      <c r="H36" s="24">
        <v>54</v>
      </c>
      <c r="I36" s="24" t="s">
        <v>330</v>
      </c>
      <c r="J36" s="24"/>
      <c r="K36" s="24"/>
    </row>
    <row r="37" spans="2:11" ht="26.45" customHeight="1">
      <c r="B37" s="24" t="s">
        <v>313</v>
      </c>
      <c r="C37" s="24" t="s">
        <v>91</v>
      </c>
      <c r="D37" s="24" t="s">
        <v>334</v>
      </c>
      <c r="E37" s="25">
        <v>46070</v>
      </c>
      <c r="F37" s="24" t="s">
        <v>332</v>
      </c>
      <c r="G37" s="24" t="s">
        <v>193</v>
      </c>
      <c r="H37" s="24">
        <v>243</v>
      </c>
      <c r="I37" s="24" t="s">
        <v>330</v>
      </c>
      <c r="J37" s="24"/>
      <c r="K37" s="24"/>
    </row>
    <row r="38" spans="2:11" ht="26.45" customHeight="1">
      <c r="B38" s="24" t="s">
        <v>314</v>
      </c>
      <c r="C38" s="24" t="s">
        <v>92</v>
      </c>
      <c r="D38" s="24" t="s">
        <v>328</v>
      </c>
      <c r="E38" s="25">
        <v>46099</v>
      </c>
      <c r="F38" s="24" t="s">
        <v>332</v>
      </c>
      <c r="G38" s="24" t="s">
        <v>194</v>
      </c>
      <c r="H38" s="24">
        <v>0</v>
      </c>
      <c r="I38" s="24" t="s">
        <v>330</v>
      </c>
      <c r="J38" s="24"/>
      <c r="K38" s="24"/>
    </row>
    <row r="39" spans="2:11" ht="26.45" customHeight="1">
      <c r="B39" s="24" t="s">
        <v>315</v>
      </c>
      <c r="C39" s="24" t="s">
        <v>93</v>
      </c>
      <c r="D39" s="24" t="s">
        <v>331</v>
      </c>
      <c r="E39" s="25">
        <v>46131</v>
      </c>
      <c r="F39" s="24" t="s">
        <v>332</v>
      </c>
      <c r="G39" s="24" t="s">
        <v>193</v>
      </c>
      <c r="H39" s="24">
        <v>65</v>
      </c>
      <c r="I39" s="24" t="s">
        <v>330</v>
      </c>
      <c r="J39" s="24"/>
      <c r="K39" s="24"/>
    </row>
    <row r="40" spans="2:11" ht="15" customHeight="1"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2:11" ht="15" customHeight="1">
      <c r="B41" s="24" t="s">
        <v>335</v>
      </c>
      <c r="C41" s="24">
        <f>COUNTA(B6:B39)</f>
        <v>34</v>
      </c>
      <c r="D41" s="24"/>
      <c r="E41" s="24"/>
      <c r="F41" s="24"/>
      <c r="G41" s="24"/>
      <c r="H41" s="24"/>
      <c r="I41" s="24"/>
      <c r="J41" s="24"/>
      <c r="K41" s="24"/>
    </row>
    <row r="42" spans="2:11" ht="15" customHeight="1">
      <c r="B42" s="24" t="s">
        <v>336</v>
      </c>
      <c r="C42" s="24">
        <f>COUNTIF(G6:G39,"Yes")</f>
        <v>23</v>
      </c>
      <c r="D42" s="24"/>
      <c r="E42" s="24"/>
      <c r="F42" s="24"/>
      <c r="G42" s="24"/>
      <c r="H42" s="24"/>
      <c r="I42" s="24"/>
      <c r="J42" s="24"/>
      <c r="K42" s="24"/>
    </row>
    <row r="43" spans="2:11" ht="15" customHeight="1">
      <c r="B43" s="24" t="s">
        <v>337</v>
      </c>
      <c r="C43" s="24">
        <f>SUM(H6:H39)</f>
        <v>3086</v>
      </c>
      <c r="D43" s="24"/>
      <c r="E43" s="24"/>
      <c r="F43" s="24"/>
      <c r="G43" s="24"/>
      <c r="H43" s="24"/>
      <c r="I43" s="24"/>
      <c r="J43" s="24"/>
      <c r="K43" s="24"/>
    </row>
    <row r="44" spans="2:11" ht="15" customHeight="1"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2:11" ht="15" customHeight="1"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2:11" ht="15" customHeight="1">
      <c r="B46" s="24"/>
      <c r="C46" s="24"/>
      <c r="D46" s="24"/>
      <c r="E46" s="24"/>
      <c r="F46" s="24"/>
      <c r="G46" s="24"/>
      <c r="H46" s="24"/>
      <c r="I46" s="24"/>
      <c r="J46" s="24"/>
      <c r="K46" s="24"/>
    </row>
  </sheetData>
  <mergeCells count="2">
    <mergeCell ref="A2:H2"/>
    <mergeCell ref="B3:I3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46"/>
  <sheetViews>
    <sheetView showGridLines="0" workbookViewId="0"/>
  </sheetViews>
  <sheetFormatPr defaultColWidth="8.7109375" defaultRowHeight="15"/>
  <cols>
    <col min="1" max="1" width="3" customWidth="1"/>
    <col min="2" max="2" width="42" customWidth="1"/>
    <col min="3" max="3" width="18" customWidth="1"/>
    <col min="4" max="4" width="14" customWidth="1"/>
    <col min="5" max="5" width="24" customWidth="1"/>
    <col min="6" max="6" width="30" customWidth="1"/>
    <col min="7" max="7" width="20" customWidth="1"/>
  </cols>
  <sheetData>
    <row r="2" spans="1:11" ht="25.5" customHeight="1">
      <c r="A2" s="5" t="s">
        <v>338</v>
      </c>
      <c r="B2" s="5"/>
      <c r="C2" s="5"/>
      <c r="D2" s="5"/>
      <c r="E2" s="5"/>
      <c r="F2" s="5"/>
    </row>
    <row r="3" spans="1:11">
      <c r="B3" s="29" t="s">
        <v>339</v>
      </c>
      <c r="C3" s="29"/>
      <c r="D3" s="29"/>
      <c r="E3" s="29"/>
      <c r="F3" s="29"/>
      <c r="G3" s="29"/>
    </row>
    <row r="5" spans="1:11" ht="15" customHeight="1">
      <c r="B5" s="7" t="s">
        <v>340</v>
      </c>
      <c r="C5" s="7" t="s">
        <v>50</v>
      </c>
      <c r="D5" s="7" t="s">
        <v>324</v>
      </c>
      <c r="E5" s="7" t="s">
        <v>341</v>
      </c>
      <c r="F5" s="7" t="s">
        <v>342</v>
      </c>
      <c r="G5" s="7" t="s">
        <v>343</v>
      </c>
      <c r="H5" s="24"/>
      <c r="I5" s="24"/>
      <c r="J5" s="24"/>
      <c r="K5" s="24"/>
    </row>
    <row r="6" spans="1:11" ht="24" customHeight="1">
      <c r="B6" s="17" t="s">
        <v>344</v>
      </c>
      <c r="C6" s="17" t="s">
        <v>60</v>
      </c>
      <c r="D6" s="22">
        <v>46085</v>
      </c>
      <c r="E6" s="17" t="s">
        <v>345</v>
      </c>
      <c r="F6" s="17" t="s">
        <v>346</v>
      </c>
      <c r="G6" s="17">
        <v>2923</v>
      </c>
      <c r="H6" s="24"/>
      <c r="I6" s="24"/>
      <c r="J6" s="24"/>
      <c r="K6" s="24"/>
    </row>
    <row r="7" spans="1:11" ht="24" customHeight="1">
      <c r="B7" s="18" t="s">
        <v>347</v>
      </c>
      <c r="C7" s="18" t="s">
        <v>61</v>
      </c>
      <c r="D7" s="23">
        <v>46117</v>
      </c>
      <c r="E7" s="18" t="s">
        <v>348</v>
      </c>
      <c r="F7" s="18" t="s">
        <v>349</v>
      </c>
      <c r="G7" s="18">
        <v>681</v>
      </c>
      <c r="H7" s="24"/>
      <c r="I7" s="24"/>
      <c r="J7" s="24"/>
      <c r="K7" s="24"/>
    </row>
    <row r="8" spans="1:11" ht="24" customHeight="1">
      <c r="B8" s="18" t="s">
        <v>350</v>
      </c>
      <c r="C8" s="18" t="s">
        <v>62</v>
      </c>
      <c r="D8" s="23">
        <v>46148</v>
      </c>
      <c r="E8" s="18" t="s">
        <v>351</v>
      </c>
      <c r="F8" s="18" t="s">
        <v>352</v>
      </c>
      <c r="G8" s="18">
        <v>1034</v>
      </c>
      <c r="H8" s="24"/>
      <c r="I8" s="24"/>
      <c r="J8" s="24"/>
      <c r="K8" s="24"/>
    </row>
    <row r="9" spans="1:11" ht="24" customHeight="1">
      <c r="B9" s="18" t="s">
        <v>353</v>
      </c>
      <c r="C9" s="18" t="s">
        <v>63</v>
      </c>
      <c r="D9" s="23">
        <v>46180</v>
      </c>
      <c r="E9" s="18" t="s">
        <v>354</v>
      </c>
      <c r="F9" s="18" t="s">
        <v>355</v>
      </c>
      <c r="G9" s="18">
        <v>567</v>
      </c>
      <c r="H9" s="24"/>
      <c r="I9" s="24"/>
      <c r="J9" s="24"/>
      <c r="K9" s="24"/>
    </row>
    <row r="10" spans="1:11" ht="24" customHeight="1">
      <c r="B10" s="18" t="s">
        <v>356</v>
      </c>
      <c r="C10" s="18" t="s">
        <v>64</v>
      </c>
      <c r="D10" s="23">
        <v>46030</v>
      </c>
      <c r="E10" s="18" t="s">
        <v>345</v>
      </c>
      <c r="F10" s="18" t="s">
        <v>346</v>
      </c>
      <c r="G10" s="18">
        <v>773</v>
      </c>
      <c r="H10" s="24"/>
      <c r="I10" s="24"/>
      <c r="J10" s="24"/>
      <c r="K10" s="24"/>
    </row>
    <row r="11" spans="1:11" ht="24" customHeight="1">
      <c r="B11" s="18" t="s">
        <v>357</v>
      </c>
      <c r="C11" s="18" t="s">
        <v>65</v>
      </c>
      <c r="D11" s="23">
        <v>46062</v>
      </c>
      <c r="E11" s="18" t="s">
        <v>348</v>
      </c>
      <c r="F11" s="18" t="s">
        <v>349</v>
      </c>
      <c r="G11" s="18">
        <v>629</v>
      </c>
      <c r="H11" s="24"/>
      <c r="I11" s="24"/>
      <c r="J11" s="24"/>
      <c r="K11" s="24"/>
    </row>
    <row r="12" spans="1:11" ht="24" customHeight="1">
      <c r="B12" s="18" t="s">
        <v>358</v>
      </c>
      <c r="C12" s="18" t="s">
        <v>66</v>
      </c>
      <c r="D12" s="23">
        <v>46091</v>
      </c>
      <c r="E12" s="18" t="s">
        <v>351</v>
      </c>
      <c r="F12" s="18" t="s">
        <v>352</v>
      </c>
      <c r="G12" s="18">
        <v>1295</v>
      </c>
      <c r="H12" s="24"/>
      <c r="I12" s="24"/>
      <c r="J12" s="24"/>
      <c r="K12" s="24"/>
    </row>
    <row r="13" spans="1:11" ht="24" customHeight="1">
      <c r="B13" s="18" t="s">
        <v>359</v>
      </c>
      <c r="C13" s="18" t="s">
        <v>67</v>
      </c>
      <c r="D13" s="23">
        <v>46123</v>
      </c>
      <c r="E13" s="18" t="s">
        <v>354</v>
      </c>
      <c r="F13" s="18" t="s">
        <v>355</v>
      </c>
      <c r="G13" s="18">
        <v>324</v>
      </c>
      <c r="H13" s="24"/>
      <c r="I13" s="24"/>
      <c r="J13" s="24"/>
      <c r="K13" s="24"/>
    </row>
    <row r="14" spans="1:11" ht="24" customHeight="1">
      <c r="B14" s="18" t="s">
        <v>360</v>
      </c>
      <c r="C14" s="18" t="s">
        <v>68</v>
      </c>
      <c r="D14" s="23">
        <v>46154</v>
      </c>
      <c r="E14" s="18" t="s">
        <v>345</v>
      </c>
      <c r="F14" s="18" t="s">
        <v>346</v>
      </c>
      <c r="G14" s="18">
        <v>578</v>
      </c>
      <c r="H14" s="24"/>
      <c r="I14" s="24"/>
      <c r="J14" s="24"/>
      <c r="K14" s="24"/>
    </row>
    <row r="15" spans="1:11" ht="24" customHeight="1">
      <c r="B15" s="18" t="s">
        <v>361</v>
      </c>
      <c r="C15" s="18" t="s">
        <v>69</v>
      </c>
      <c r="D15" s="23">
        <v>46186</v>
      </c>
      <c r="E15" s="18" t="s">
        <v>348</v>
      </c>
      <c r="F15" s="18" t="s">
        <v>349</v>
      </c>
      <c r="G15" s="18">
        <v>768</v>
      </c>
      <c r="H15" s="24"/>
      <c r="I15" s="24"/>
      <c r="J15" s="24"/>
      <c r="K15" s="24"/>
    </row>
    <row r="16" spans="1:11" ht="24" customHeight="1">
      <c r="B16" s="18" t="s">
        <v>362</v>
      </c>
      <c r="C16" s="18" t="s">
        <v>70</v>
      </c>
      <c r="D16" s="23">
        <v>46036</v>
      </c>
      <c r="E16" s="18" t="s">
        <v>351</v>
      </c>
      <c r="F16" s="18" t="s">
        <v>352</v>
      </c>
      <c r="G16" s="18">
        <v>250</v>
      </c>
      <c r="H16" s="24"/>
      <c r="I16" s="24"/>
      <c r="J16" s="24"/>
      <c r="K16" s="24"/>
    </row>
    <row r="17" spans="2:11" ht="24" customHeight="1">
      <c r="B17" s="18" t="s">
        <v>363</v>
      </c>
      <c r="C17" s="18" t="s">
        <v>71</v>
      </c>
      <c r="D17" s="23">
        <v>46068</v>
      </c>
      <c r="E17" s="18" t="s">
        <v>354</v>
      </c>
      <c r="F17" s="18" t="s">
        <v>355</v>
      </c>
      <c r="G17" s="18">
        <v>339</v>
      </c>
      <c r="H17" s="24"/>
      <c r="I17" s="24"/>
      <c r="J17" s="24"/>
      <c r="K17" s="24"/>
    </row>
    <row r="18" spans="2:11" ht="24" customHeight="1">
      <c r="B18" s="18" t="s">
        <v>364</v>
      </c>
      <c r="C18" s="18" t="s">
        <v>72</v>
      </c>
      <c r="D18" s="23">
        <v>46097</v>
      </c>
      <c r="E18" s="18" t="s">
        <v>345</v>
      </c>
      <c r="F18" s="18" t="s">
        <v>346</v>
      </c>
      <c r="G18" s="18">
        <v>686</v>
      </c>
      <c r="H18" s="24"/>
      <c r="I18" s="24"/>
      <c r="J18" s="24"/>
      <c r="K18" s="24"/>
    </row>
    <row r="19" spans="2:11" ht="24" customHeight="1">
      <c r="B19" s="18" t="s">
        <v>365</v>
      </c>
      <c r="C19" s="18" t="s">
        <v>73</v>
      </c>
      <c r="D19" s="23">
        <v>46129</v>
      </c>
      <c r="E19" s="18" t="s">
        <v>348</v>
      </c>
      <c r="F19" s="18" t="s">
        <v>349</v>
      </c>
      <c r="G19" s="18">
        <v>656</v>
      </c>
      <c r="H19" s="24"/>
      <c r="I19" s="24"/>
      <c r="J19" s="24"/>
      <c r="K19" s="24"/>
    </row>
    <row r="20" spans="2:11" ht="24" customHeight="1">
      <c r="B20" s="18" t="s">
        <v>366</v>
      </c>
      <c r="C20" s="18" t="s">
        <v>74</v>
      </c>
      <c r="D20" s="23">
        <v>46160</v>
      </c>
      <c r="E20" s="18" t="s">
        <v>351</v>
      </c>
      <c r="F20" s="18" t="s">
        <v>352</v>
      </c>
      <c r="G20" s="18">
        <v>780</v>
      </c>
      <c r="H20" s="24"/>
      <c r="I20" s="24"/>
      <c r="J20" s="24"/>
      <c r="K20" s="24"/>
    </row>
    <row r="21" spans="2:11" ht="24" customHeight="1">
      <c r="B21" s="18" t="s">
        <v>367</v>
      </c>
      <c r="C21" s="18" t="s">
        <v>75</v>
      </c>
      <c r="D21" s="23">
        <v>46192</v>
      </c>
      <c r="E21" s="18" t="s">
        <v>354</v>
      </c>
      <c r="F21" s="18" t="s">
        <v>355</v>
      </c>
      <c r="G21" s="18">
        <v>1112</v>
      </c>
      <c r="H21" s="24"/>
      <c r="I21" s="24"/>
      <c r="J21" s="24"/>
      <c r="K21" s="24"/>
    </row>
    <row r="22" spans="2:11" ht="24" customHeight="1">
      <c r="B22" s="18" t="s">
        <v>368</v>
      </c>
      <c r="C22" s="18" t="s">
        <v>76</v>
      </c>
      <c r="D22" s="23">
        <v>46042</v>
      </c>
      <c r="E22" s="18" t="s">
        <v>345</v>
      </c>
      <c r="F22" s="18" t="s">
        <v>346</v>
      </c>
      <c r="G22" s="18">
        <v>1035</v>
      </c>
      <c r="H22" s="24"/>
      <c r="I22" s="24"/>
      <c r="J22" s="24"/>
      <c r="K22" s="24"/>
    </row>
    <row r="23" spans="2:11" ht="24" customHeight="1">
      <c r="B23" s="18" t="s">
        <v>369</v>
      </c>
      <c r="C23" s="18" t="s">
        <v>77</v>
      </c>
      <c r="D23" s="23">
        <v>46074</v>
      </c>
      <c r="E23" s="18" t="s">
        <v>348</v>
      </c>
      <c r="F23" s="18" t="s">
        <v>349</v>
      </c>
      <c r="G23" s="18">
        <v>1034</v>
      </c>
      <c r="H23" s="24"/>
      <c r="I23" s="24"/>
      <c r="J23" s="24"/>
      <c r="K23" s="24"/>
    </row>
    <row r="24" spans="2:11" ht="24" customHeight="1">
      <c r="B24" s="18" t="s">
        <v>370</v>
      </c>
      <c r="C24" s="18" t="s">
        <v>78</v>
      </c>
      <c r="D24" s="23">
        <v>46103</v>
      </c>
      <c r="E24" s="18" t="s">
        <v>351</v>
      </c>
      <c r="F24" s="18" t="s">
        <v>352</v>
      </c>
      <c r="G24" s="18">
        <v>536</v>
      </c>
      <c r="H24" s="24"/>
      <c r="I24" s="24"/>
      <c r="J24" s="24"/>
      <c r="K24" s="24"/>
    </row>
    <row r="25" spans="2:11" ht="24" customHeight="1">
      <c r="B25" s="18" t="s">
        <v>371</v>
      </c>
      <c r="C25" s="18" t="s">
        <v>79</v>
      </c>
      <c r="D25" s="23">
        <v>46135</v>
      </c>
      <c r="E25" s="18" t="s">
        <v>354</v>
      </c>
      <c r="F25" s="18" t="s">
        <v>355</v>
      </c>
      <c r="G25" s="18">
        <v>732</v>
      </c>
      <c r="H25" s="24"/>
      <c r="I25" s="24"/>
      <c r="J25" s="24"/>
      <c r="K25" s="24"/>
    </row>
    <row r="26" spans="2:11" ht="24" customHeight="1">
      <c r="B26" s="18" t="s">
        <v>372</v>
      </c>
      <c r="C26" s="18" t="s">
        <v>80</v>
      </c>
      <c r="D26" s="23">
        <v>46166</v>
      </c>
      <c r="E26" s="18" t="s">
        <v>345</v>
      </c>
      <c r="F26" s="18" t="s">
        <v>346</v>
      </c>
      <c r="G26" s="18">
        <v>389</v>
      </c>
      <c r="H26" s="24"/>
      <c r="I26" s="24"/>
      <c r="J26" s="24"/>
      <c r="K26" s="24"/>
    </row>
    <row r="27" spans="2:11" ht="26.45" customHeight="1">
      <c r="B27" s="24" t="s">
        <v>373</v>
      </c>
      <c r="C27" s="24" t="s">
        <v>81</v>
      </c>
      <c r="D27" s="25">
        <v>46176</v>
      </c>
      <c r="E27" s="24" t="s">
        <v>348</v>
      </c>
      <c r="F27" s="24" t="s">
        <v>349</v>
      </c>
      <c r="G27" s="24">
        <v>266</v>
      </c>
      <c r="H27" s="24"/>
      <c r="I27" s="24"/>
      <c r="J27" s="24"/>
      <c r="K27" s="24"/>
    </row>
    <row r="28" spans="2:11" ht="24" customHeight="1">
      <c r="B28" s="26" t="s">
        <v>374</v>
      </c>
      <c r="C28" s="26" t="s">
        <v>82</v>
      </c>
      <c r="D28" s="25">
        <v>46026</v>
      </c>
      <c r="E28" s="24" t="s">
        <v>351</v>
      </c>
      <c r="F28" s="24" t="s">
        <v>352</v>
      </c>
      <c r="G28" s="24">
        <v>658</v>
      </c>
      <c r="H28" s="24"/>
      <c r="I28" s="24"/>
      <c r="J28" s="24"/>
      <c r="K28" s="24"/>
    </row>
    <row r="29" spans="2:11" ht="24" customHeight="1">
      <c r="B29" s="26" t="s">
        <v>375</v>
      </c>
      <c r="C29" s="26" t="s">
        <v>83</v>
      </c>
      <c r="D29" s="25">
        <v>46058</v>
      </c>
      <c r="E29" s="24" t="s">
        <v>354</v>
      </c>
      <c r="F29" s="24" t="s">
        <v>355</v>
      </c>
      <c r="G29" s="24">
        <v>1287</v>
      </c>
      <c r="H29" s="24"/>
      <c r="I29" s="24"/>
      <c r="J29" s="24"/>
      <c r="K29" s="24"/>
    </row>
    <row r="30" spans="2:11" ht="26.45" customHeight="1">
      <c r="B30" s="26" t="s">
        <v>376</v>
      </c>
      <c r="C30" s="26" t="s">
        <v>84</v>
      </c>
      <c r="D30" s="25">
        <v>46087</v>
      </c>
      <c r="E30" s="24" t="s">
        <v>345</v>
      </c>
      <c r="F30" s="24" t="s">
        <v>346</v>
      </c>
      <c r="G30" s="24">
        <v>485</v>
      </c>
      <c r="H30" s="24"/>
      <c r="I30" s="24"/>
      <c r="J30" s="24"/>
      <c r="K30" s="24"/>
    </row>
    <row r="31" spans="2:11" ht="26.45" customHeight="1">
      <c r="B31" s="24" t="s">
        <v>377</v>
      </c>
      <c r="C31" s="24" t="s">
        <v>85</v>
      </c>
      <c r="D31" s="25">
        <v>46119</v>
      </c>
      <c r="E31" s="24" t="s">
        <v>348</v>
      </c>
      <c r="F31" s="24" t="s">
        <v>349</v>
      </c>
      <c r="G31" s="24">
        <v>250</v>
      </c>
      <c r="H31" s="24"/>
      <c r="I31" s="24"/>
      <c r="J31" s="24"/>
      <c r="K31" s="24"/>
    </row>
    <row r="32" spans="2:11" ht="26.45" customHeight="1">
      <c r="B32" s="24" t="s">
        <v>378</v>
      </c>
      <c r="C32" s="24" t="s">
        <v>86</v>
      </c>
      <c r="D32" s="25">
        <v>46150</v>
      </c>
      <c r="E32" s="24" t="s">
        <v>351</v>
      </c>
      <c r="F32" s="24" t="s">
        <v>352</v>
      </c>
      <c r="G32" s="24">
        <v>1421</v>
      </c>
      <c r="H32" s="24"/>
      <c r="I32" s="24"/>
      <c r="J32" s="24"/>
      <c r="K32" s="24"/>
    </row>
    <row r="33" spans="2:11" ht="26.45" customHeight="1">
      <c r="B33" s="24" t="s">
        <v>379</v>
      </c>
      <c r="C33" s="24" t="s">
        <v>87</v>
      </c>
      <c r="D33" s="25">
        <v>46182</v>
      </c>
      <c r="E33" s="24" t="s">
        <v>354</v>
      </c>
      <c r="F33" s="24" t="s">
        <v>355</v>
      </c>
      <c r="G33" s="24">
        <v>1216</v>
      </c>
      <c r="H33" s="24"/>
      <c r="I33" s="24"/>
      <c r="J33" s="24"/>
      <c r="K33" s="24"/>
    </row>
    <row r="34" spans="2:11" ht="26.45" customHeight="1">
      <c r="B34" s="24" t="s">
        <v>380</v>
      </c>
      <c r="C34" s="24" t="s">
        <v>88</v>
      </c>
      <c r="D34" s="25">
        <v>46032</v>
      </c>
      <c r="E34" s="24" t="s">
        <v>345</v>
      </c>
      <c r="F34" s="24" t="s">
        <v>346</v>
      </c>
      <c r="G34" s="24">
        <v>3277</v>
      </c>
      <c r="H34" s="24"/>
      <c r="I34" s="24"/>
      <c r="J34" s="24"/>
      <c r="K34" s="24"/>
    </row>
    <row r="35" spans="2:11" ht="26.45" customHeight="1">
      <c r="B35" s="24" t="s">
        <v>381</v>
      </c>
      <c r="C35" s="24" t="s">
        <v>89</v>
      </c>
      <c r="D35" s="25">
        <v>46064</v>
      </c>
      <c r="E35" s="24" t="s">
        <v>348</v>
      </c>
      <c r="F35" s="24" t="s">
        <v>349</v>
      </c>
      <c r="G35" s="24">
        <v>634</v>
      </c>
      <c r="H35" s="24"/>
      <c r="I35" s="24"/>
      <c r="J35" s="24"/>
      <c r="K35" s="24"/>
    </row>
    <row r="36" spans="2:11" ht="26.45" customHeight="1">
      <c r="B36" s="24" t="s">
        <v>382</v>
      </c>
      <c r="C36" s="24" t="s">
        <v>90</v>
      </c>
      <c r="D36" s="25">
        <v>46093</v>
      </c>
      <c r="E36" s="24" t="s">
        <v>351</v>
      </c>
      <c r="F36" s="24" t="s">
        <v>352</v>
      </c>
      <c r="G36" s="24">
        <v>327</v>
      </c>
      <c r="H36" s="24"/>
      <c r="I36" s="24"/>
      <c r="J36" s="24"/>
      <c r="K36" s="24"/>
    </row>
    <row r="37" spans="2:11" ht="26.45" customHeight="1">
      <c r="B37" s="24" t="s">
        <v>383</v>
      </c>
      <c r="C37" s="24" t="s">
        <v>91</v>
      </c>
      <c r="D37" s="25">
        <v>46125</v>
      </c>
      <c r="E37" s="24" t="s">
        <v>354</v>
      </c>
      <c r="F37" s="24" t="s">
        <v>355</v>
      </c>
      <c r="G37" s="24">
        <v>1638</v>
      </c>
      <c r="H37" s="24"/>
      <c r="I37" s="24"/>
      <c r="J37" s="24"/>
      <c r="K37" s="24"/>
    </row>
    <row r="38" spans="2:11" ht="26.45" customHeight="1">
      <c r="B38" s="24" t="s">
        <v>384</v>
      </c>
      <c r="C38" s="24" t="s">
        <v>92</v>
      </c>
      <c r="D38" s="25">
        <v>46156</v>
      </c>
      <c r="E38" s="24" t="s">
        <v>345</v>
      </c>
      <c r="F38" s="24" t="s">
        <v>346</v>
      </c>
      <c r="G38" s="24">
        <v>842</v>
      </c>
      <c r="H38" s="24"/>
      <c r="I38" s="24"/>
      <c r="J38" s="24"/>
      <c r="K38" s="24"/>
    </row>
    <row r="39" spans="2:11" ht="26.45" customHeight="1">
      <c r="B39" s="24" t="s">
        <v>385</v>
      </c>
      <c r="C39" s="24" t="s">
        <v>93</v>
      </c>
      <c r="D39" s="25">
        <v>46188</v>
      </c>
      <c r="E39" s="24" t="s">
        <v>348</v>
      </c>
      <c r="F39" s="24" t="s">
        <v>349</v>
      </c>
      <c r="G39" s="24">
        <v>527</v>
      </c>
      <c r="H39" s="24"/>
      <c r="I39" s="24"/>
      <c r="J39" s="24"/>
      <c r="K39" s="24"/>
    </row>
    <row r="40" spans="2:11" ht="15" customHeight="1"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2:11" ht="15" customHeight="1">
      <c r="B41" s="24" t="s">
        <v>386</v>
      </c>
      <c r="C41" s="24">
        <f>COUNTA(B6:B39)</f>
        <v>34</v>
      </c>
      <c r="D41" s="24"/>
      <c r="E41" s="24"/>
      <c r="F41" s="24"/>
      <c r="G41" s="24"/>
      <c r="H41" s="24"/>
      <c r="I41" s="24"/>
      <c r="J41" s="24"/>
      <c r="K41" s="24"/>
    </row>
    <row r="42" spans="2:11" ht="15" customHeight="1">
      <c r="B42" s="24" t="s">
        <v>387</v>
      </c>
      <c r="C42" s="24">
        <f>COUNTIF(E6:E39,"*Drive*")</f>
        <v>17</v>
      </c>
      <c r="D42" s="24"/>
      <c r="E42" s="24"/>
      <c r="F42" s="24"/>
      <c r="G42" s="24"/>
      <c r="H42" s="24"/>
      <c r="I42" s="24"/>
      <c r="J42" s="24"/>
      <c r="K42" s="24"/>
    </row>
    <row r="43" spans="2:11" ht="15" customHeight="1">
      <c r="B43" s="24" t="s">
        <v>388</v>
      </c>
      <c r="C43" s="24">
        <f>SUM(G6:G39)</f>
        <v>29949</v>
      </c>
      <c r="D43" s="24"/>
      <c r="E43" s="24"/>
      <c r="F43" s="24"/>
      <c r="G43" s="24"/>
      <c r="H43" s="24"/>
      <c r="I43" s="24"/>
      <c r="J43" s="24"/>
      <c r="K43" s="24"/>
    </row>
    <row r="44" spans="2:11" ht="15" customHeight="1"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2:11" ht="15" customHeight="1"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2:11" ht="15" customHeight="1">
      <c r="B46" s="24"/>
      <c r="C46" s="24"/>
      <c r="D46" s="24"/>
      <c r="E46" s="24"/>
      <c r="F46" s="24"/>
      <c r="G46" s="24"/>
      <c r="H46" s="24"/>
      <c r="I46" s="24"/>
      <c r="J46" s="24"/>
      <c r="K46" s="24"/>
    </row>
  </sheetData>
  <mergeCells count="2">
    <mergeCell ref="A2:F2"/>
    <mergeCell ref="B3:G3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9CA85-B312-400A-9DEF-9FBF391730DA}"/>
</file>

<file path=customXml/itemProps2.xml><?xml version="1.0" encoding="utf-8"?>
<ds:datastoreItem xmlns:ds="http://schemas.openxmlformats.org/officeDocument/2006/customXml" ds:itemID="{8DD13953-48F2-4F15-8C08-FD771DBD426E}"/>
</file>

<file path=customXml/itemProps3.xml><?xml version="1.0" encoding="utf-8"?>
<ds:datastoreItem xmlns:ds="http://schemas.openxmlformats.org/officeDocument/2006/customXml" ds:itemID="{DCE124C4-76C9-48E3-A6EB-5B17E8089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Siddhi Kharangate</cp:lastModifiedBy>
  <cp:revision/>
  <dcterms:created xsi:type="dcterms:W3CDTF">2026-07-29T18:09:17Z</dcterms:created>
  <dcterms:modified xsi:type="dcterms:W3CDTF">2026-07-29T18:09:17Z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  <property fmtid="{D5CDD505-2E9C-101B-9397-08002B2CF9AE}" pid="3" name="MediaServiceImageTags">
    <vt:lpwstr/>
  </property>
</Properties>
</file>